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 activeTab="6"/>
  </bookViews>
  <sheets>
    <sheet name="Bedroom" sheetId="8" r:id="rId1"/>
    <sheet name="Wardrobe" sheetId="2" r:id="rId2"/>
    <sheet name="Flipkart" sheetId="11" r:id="rId3"/>
    <sheet name="CSI" sheetId="5" r:id="rId4"/>
    <sheet name="Sheet5" sheetId="6" state="hidden" r:id="rId5"/>
    <sheet name="CNT-MDF" sheetId="7" r:id="rId6"/>
    <sheet name="CNT01" sheetId="9" r:id="rId7"/>
    <sheet name="Sheet1" sheetId="17" state="hidden" r:id="rId8"/>
  </sheets>
  <calcPr calcId="144525" concurrentCalc="0"/>
</workbook>
</file>

<file path=xl/sharedStrings.xml><?xml version="1.0" encoding="utf-8"?>
<sst xmlns="http://schemas.openxmlformats.org/spreadsheetml/2006/main" count="2248" uniqueCount="1154">
  <si>
    <t>DP &amp; MRP Bedroom  Price List</t>
  </si>
  <si>
    <t>S.No.</t>
  </si>
  <si>
    <t>Code</t>
  </si>
  <si>
    <t>Particulars</t>
  </si>
  <si>
    <t>Description</t>
  </si>
  <si>
    <t>Size (HxWxD)</t>
  </si>
  <si>
    <t>Colour</t>
  </si>
  <si>
    <t>MRP Price</t>
  </si>
  <si>
    <t>Dealer Price</t>
  </si>
  <si>
    <t>Special Price</t>
  </si>
  <si>
    <t>CS-138 (138.6 TS)</t>
  </si>
  <si>
    <t xml:space="preserve"> Bed  with Top Storage18mm  PPB &amp; HGL</t>
  </si>
  <si>
    <t>6 x 6 1/2</t>
  </si>
  <si>
    <t>CLOUD ASH HGL, DARK WALNUT HGL, DARK WALNUT</t>
  </si>
  <si>
    <t>CS-138 (138.5 TS)</t>
  </si>
  <si>
    <t xml:space="preserve"> Bed  with Top Storage 18mm  PPB &amp; HGL</t>
  </si>
  <si>
    <t>5 x 6 1/2</t>
  </si>
  <si>
    <t>CS-138 (138.6 NHDS)</t>
  </si>
  <si>
    <t>Bed with New Hydraulic 18mm  PPB &amp; HGL</t>
  </si>
  <si>
    <t>CS-138 (138.5 NHDS)</t>
  </si>
  <si>
    <t>Bed with New Hydraulic  18mm  PPB &amp; HGL</t>
  </si>
  <si>
    <t>CS-138 (138.4 P)</t>
  </si>
  <si>
    <t>Wardrobe 4 Door  18mm  PPB &amp; HGL</t>
  </si>
  <si>
    <t>1600(W) x 530(D) x 1935(H)</t>
  </si>
  <si>
    <t>CS-138 (DT-133)</t>
  </si>
  <si>
    <t>Dressing -18mm  PPB &amp; HGL</t>
  </si>
  <si>
    <t>700(W) x 400(D) x 1820(H)</t>
  </si>
  <si>
    <t>CS-138 (ST-134)</t>
  </si>
  <si>
    <t>Side Table-18mm  PPB &amp; HGL</t>
  </si>
  <si>
    <t>450(W) x 400(D) x 400(H)</t>
  </si>
  <si>
    <t>CS-137 (137.6 TS)</t>
  </si>
  <si>
    <t xml:space="preserve"> Bed  with Top Storage 18mm PPB &amp; HGL</t>
  </si>
  <si>
    <t>CLOUD ASH HGL, DARK WALNUT HGL, DARK WALNUT  PPB &amp; HGL</t>
  </si>
  <si>
    <t>CS-137 (137.5 TS)</t>
  </si>
  <si>
    <t>CS-137 (137.6 NHDS)</t>
  </si>
  <si>
    <t>Bed with New Hydraulic 18mm PPB &amp; HGL</t>
  </si>
  <si>
    <t>CS-137 (137.5 NHDS)</t>
  </si>
  <si>
    <t>CS-137 (137.4 P)</t>
  </si>
  <si>
    <t>Wardrobe 4 Door 18mm  PPB &amp; HGL</t>
  </si>
  <si>
    <t>CS-137 (DT-131)</t>
  </si>
  <si>
    <t>CS-137 (ST-132)</t>
  </si>
  <si>
    <t>CS-136 (136.6 TS)</t>
  </si>
  <si>
    <t xml:space="preserve"> Bed  with Top Storage 15mm Thick PPB</t>
  </si>
  <si>
    <t xml:space="preserve">BALENESE PINE + GREY BEECH </t>
  </si>
  <si>
    <t>CS-136 (136.5 TS)</t>
  </si>
  <si>
    <t xml:space="preserve"> Bed  with Top Storage  15mm Thick PPB</t>
  </si>
  <si>
    <t>CS-136 (136.2 P)</t>
  </si>
  <si>
    <t>2 Door Wardrobe   15mm Thick PPB</t>
  </si>
  <si>
    <t>800(W) x 520(D) x 1930(H)</t>
  </si>
  <si>
    <t>CS-136 (136.3 P)</t>
  </si>
  <si>
    <t>3 Door Wardrobe  15mm Thick PPB</t>
  </si>
  <si>
    <t>1200(W) x 520(D) x 1930(H)</t>
  </si>
  <si>
    <t>CS-136 (DT-129)</t>
  </si>
  <si>
    <t>Dressing Table  15mm Thick PPB</t>
  </si>
  <si>
    <t>700(W) x 400(D) x 1800(H)</t>
  </si>
  <si>
    <t>CS-136 (ST-130)</t>
  </si>
  <si>
    <t xml:space="preserve"> Side Table  15mm Thick PPB</t>
  </si>
  <si>
    <t>CS-135 (135.6 NHDS)</t>
  </si>
  <si>
    <t>Bed with New Hydraulic  18mm Thick PPB</t>
  </si>
  <si>
    <t xml:space="preserve">CARIO WALNUT +F. WHITE </t>
  </si>
  <si>
    <t>CS-135 (135.5 NHDS)</t>
  </si>
  <si>
    <t>CS-135 (135.4 P)</t>
  </si>
  <si>
    <t>4 Door Wardrobe   18mm PPB</t>
  </si>
  <si>
    <t>1600(W) x 520(D) x 2100(H)</t>
  </si>
  <si>
    <t>CS-135 (DT-127)</t>
  </si>
  <si>
    <t>Dressing Table 18mm Thick PPB</t>
  </si>
  <si>
    <t>800 (W)X 400 (D)X 1800(H)</t>
  </si>
  <si>
    <t>CS-135 (ST-128)</t>
  </si>
  <si>
    <t xml:space="preserve"> Side Table  18mm Thick PPB</t>
  </si>
  <si>
    <t>450(W) X 400(D) X 400(H)</t>
  </si>
  <si>
    <t>CS-134 (134.6 NHDS)</t>
  </si>
  <si>
    <t xml:space="preserve">DARK ACACIA +F. WHITE </t>
  </si>
  <si>
    <t>CS-134 (134.5 NHDS)</t>
  </si>
  <si>
    <t>CS-134 (134.2 SW)</t>
  </si>
  <si>
    <t>Sliding  Wardrobe  18mm Thick PPB</t>
  </si>
  <si>
    <t>1800(W) x 620(D) x 2100(H)</t>
  </si>
  <si>
    <t>CS-134 (DT-125)</t>
  </si>
  <si>
    <t>450(W) x 400(D) x 1800(H)</t>
  </si>
  <si>
    <t>CS-134 (ST-126)</t>
  </si>
  <si>
    <t xml:space="preserve"> Side Table   18mm Thick PPB</t>
  </si>
  <si>
    <t>450(W) x 400((D) x 750(H)</t>
  </si>
  <si>
    <t>CS-133 (133.6 NHDS)</t>
  </si>
  <si>
    <t>Bed with New Hydraulic 18mm Thick PPB</t>
  </si>
  <si>
    <t xml:space="preserve">BALENESE PINE + F. WHITE </t>
  </si>
  <si>
    <t>CS-133 (133.5 NHDS)</t>
  </si>
  <si>
    <t>CS-133 (133.2 SW)</t>
  </si>
  <si>
    <t>1805(W) x 625(D) x 2100(H)</t>
  </si>
  <si>
    <t>CS-133 (DT-123)</t>
  </si>
  <si>
    <t>CS-133 (ST-124)</t>
  </si>
  <si>
    <t xml:space="preserve"> Side Table 18mm Thick PPB</t>
  </si>
  <si>
    <t>CS-132 (132.6 TS)</t>
  </si>
  <si>
    <t xml:space="preserve">DARK WALNUT +CLOUD ASH +F. WHITE </t>
  </si>
  <si>
    <t>CS-132 (132.5 TS)</t>
  </si>
  <si>
    <t>CS-132 (132.3 P)</t>
  </si>
  <si>
    <t>3 Door Wardrobe 15mm Thick PPB</t>
  </si>
  <si>
    <t>CS-132 (132.2 P)</t>
  </si>
  <si>
    <t>2 Door Wardrobe  15mm Thick PPB</t>
  </si>
  <si>
    <t>CS-132 (DT-121)</t>
  </si>
  <si>
    <t>Dressing Table 15mm Thick PPB</t>
  </si>
  <si>
    <t>500(W) x 400(D) x 1800(H)</t>
  </si>
  <si>
    <t>CS-132 (ST-122)</t>
  </si>
  <si>
    <t xml:space="preserve"> Side Table 15mm Thick PPB</t>
  </si>
  <si>
    <t>CS-131 (131.6 NHDS)</t>
  </si>
  <si>
    <t>Bed with New Hydraulic  in 15mm Thick PPB</t>
  </si>
  <si>
    <t>VERGIN OAK FB+ F. WHITE</t>
  </si>
  <si>
    <t>CS-131 (131.5 NHDS)</t>
  </si>
  <si>
    <t>CS-131 (131.3 P)</t>
  </si>
  <si>
    <t>3 Door Wardrobe  in 15mm Thick PPB</t>
  </si>
  <si>
    <t>1270(W) x 515(D) x 2100(H)</t>
  </si>
  <si>
    <t>CS-131 (131.2 P)</t>
  </si>
  <si>
    <t>2 Door Wardrobe   in 15mm Thick PPB</t>
  </si>
  <si>
    <t>870(W) x 515(D) x 2100(H)</t>
  </si>
  <si>
    <t>CS-131 (DT-119)</t>
  </si>
  <si>
    <t>Dressing Table  in 15mm Thick PPB</t>
  </si>
  <si>
    <t>700(W) x 400(D)x1815(H)</t>
  </si>
  <si>
    <t>CS-131 (ST-120)</t>
  </si>
  <si>
    <t xml:space="preserve"> Side Table  in 15mm Thick PPB</t>
  </si>
  <si>
    <t>450(W) x 400(D) x 605(H)</t>
  </si>
  <si>
    <t>CS-130 (130.3RE)</t>
  </si>
  <si>
    <t>Bed Without storage</t>
  </si>
  <si>
    <t>3X6 ½</t>
  </si>
  <si>
    <t xml:space="preserve"> Salmon Pink + Traffic Grey+Frosty White</t>
  </si>
  <si>
    <t>CS-130 (130.6NHDS)</t>
  </si>
  <si>
    <t>Bed with New Hydraulic</t>
  </si>
  <si>
    <t>  6x 6 ½</t>
  </si>
  <si>
    <t>CS-130 (130.5NHDS)</t>
  </si>
  <si>
    <t>  5 x 6 ½</t>
  </si>
  <si>
    <t>CS-130 (130.6 TS)</t>
  </si>
  <si>
    <t>Bed with Top Storage</t>
  </si>
  <si>
    <t> 6x 6 ½</t>
  </si>
  <si>
    <t>CS-130 (130.5 TS)</t>
  </si>
  <si>
    <t> 5x 6 ½</t>
  </si>
  <si>
    <t>CS-130 (130.2 P)</t>
  </si>
  <si>
    <t>Wardrobe 2 Door</t>
  </si>
  <si>
    <t xml:space="preserve"> 800(W)x475(D)x1935(H)</t>
  </si>
  <si>
    <t>CS-130 (DT-116)</t>
  </si>
  <si>
    <t>Dressing Table</t>
  </si>
  <si>
    <t xml:space="preserve"> 450(W)x400(D)x1800(H)</t>
  </si>
  <si>
    <t>CS-130 (ST-117)</t>
  </si>
  <si>
    <t>Side Table</t>
  </si>
  <si>
    <t>450(W) x 400(D) x 450(H)</t>
  </si>
  <si>
    <t>CS-130 (STU-118)</t>
  </si>
  <si>
    <t>Study Table</t>
  </si>
  <si>
    <t>900(W)x600(D)x1350(H)</t>
  </si>
  <si>
    <t>CS-127 (127.5 NHDS)</t>
  </si>
  <si>
    <t>Wallnut (4039) + Cloud Ash</t>
  </si>
  <si>
    <t>CS-127 (127.6 NHDS)</t>
  </si>
  <si>
    <t> 6 x 6 ½</t>
  </si>
  <si>
    <t>CS-127 (127.4 )P</t>
  </si>
  <si>
    <t>Wardrobe 4 Door</t>
  </si>
  <si>
    <t>2100 Hx530 Dx1800 W</t>
  </si>
  <si>
    <t>CS-127 (DT-112)</t>
  </si>
  <si>
    <t>1800 Hx600 Wx400 D</t>
  </si>
  <si>
    <t>CS-127 (ST-114)</t>
  </si>
  <si>
    <t>400 H x 400 Dx 450 W</t>
  </si>
  <si>
    <t>CS-126 (126.5 NHDS)</t>
  </si>
  <si>
    <t xml:space="preserve">Wallnut (4039) + Black HGL </t>
  </si>
  <si>
    <t>CS-126 (126.6 NHDS)</t>
  </si>
  <si>
    <t>WL-65</t>
  </si>
  <si>
    <t>Wardrobe Sliding 2 Door</t>
  </si>
  <si>
    <t>1800 x 620 x 2100</t>
  </si>
  <si>
    <t>CS-126 (DT-111)</t>
  </si>
  <si>
    <t>1915 H x 500 W x 450 D</t>
  </si>
  <si>
    <t>CS-126 (ST-113)</t>
  </si>
  <si>
    <t>400 Hx 400 D x 450 W</t>
  </si>
  <si>
    <t>CS-123 (123.5 NHDS)</t>
  </si>
  <si>
    <r>
      <rPr>
        <sz val="10"/>
        <rFont val="Cambria"/>
        <charset val="0"/>
      </rPr>
      <t xml:space="preserve">5 x 6 </t>
    </r>
    <r>
      <rPr>
        <sz val="10"/>
        <rFont val="Arial"/>
        <charset val="0"/>
      </rPr>
      <t>½</t>
    </r>
  </si>
  <si>
    <t xml:space="preserve">NEOTON WOOD + F.WHITE </t>
  </si>
  <si>
    <t>CS-123 (123.6 NHDS)</t>
  </si>
  <si>
    <r>
      <rPr>
        <sz val="10"/>
        <rFont val="Cambria"/>
        <charset val="0"/>
      </rPr>
      <t xml:space="preserve">6 x 6 </t>
    </r>
    <r>
      <rPr>
        <sz val="10"/>
        <rFont val="Arial"/>
        <charset val="0"/>
      </rPr>
      <t>½</t>
    </r>
  </si>
  <si>
    <t>WL-64</t>
  </si>
  <si>
    <t>Sliding Wardrobe 2 Door</t>
  </si>
  <si>
    <t>CS-123 (DT-109)</t>
  </si>
  <si>
    <t xml:space="preserve">Dressing Table </t>
  </si>
  <si>
    <t>750 W x400 D x1800 H</t>
  </si>
  <si>
    <t>CS-123 (ST-111)</t>
  </si>
  <si>
    <t xml:space="preserve">Side Table </t>
  </si>
  <si>
    <t>476 Wx420 Dx1100 H</t>
  </si>
  <si>
    <t>CS-122 (122.5 NHDS)</t>
  </si>
  <si>
    <t>D.EBONY + SILVER FOIL</t>
  </si>
  <si>
    <t>CS-122 (122.6 NHDS)</t>
  </si>
  <si>
    <t>CS-122 (122.3 P)</t>
  </si>
  <si>
    <t>Wardrobe 3 Door</t>
  </si>
  <si>
    <t xml:space="preserve">1200 W x520 D x1935 H </t>
  </si>
  <si>
    <t>CS-122 (122.2 P)</t>
  </si>
  <si>
    <t>800 W x520 D x1935 H</t>
  </si>
  <si>
    <t>CS-122 (DT-108)</t>
  </si>
  <si>
    <t>800 H x400 D x1800 W</t>
  </si>
  <si>
    <t>CS-122 (ST-110)</t>
  </si>
  <si>
    <t>700 H x450 W x400 D</t>
  </si>
  <si>
    <t>CS-121 (121.5 TS)</t>
  </si>
  <si>
    <t>Bed with Top Storage 15 mm</t>
  </si>
  <si>
    <t>Cloud ash + D. Walnut HGL</t>
  </si>
  <si>
    <t>CS-121 (121.6 TS)</t>
  </si>
  <si>
    <t>CS-121 (121.3 P)</t>
  </si>
  <si>
    <t>Wardrobe 3 Door 15 mm</t>
  </si>
  <si>
    <t>CS-121 (121.2 P)</t>
  </si>
  <si>
    <t>Wardrobe 2 Door 15 mm</t>
  </si>
  <si>
    <t>CS-121 (DT-107)</t>
  </si>
  <si>
    <t>Dressing Table 15 mm</t>
  </si>
  <si>
    <t>450 D x460 W x1800 H</t>
  </si>
  <si>
    <t>CS-121 (ST-109)</t>
  </si>
  <si>
    <t>Side Table 15 mm</t>
  </si>
  <si>
    <t>450 H x450 D x450 W</t>
  </si>
  <si>
    <t>CS-120 (120.3 RE)</t>
  </si>
  <si>
    <t>Bed Without storage 18 mm</t>
  </si>
  <si>
    <r>
      <rPr>
        <sz val="10"/>
        <rFont val="Cambria"/>
        <charset val="0"/>
      </rPr>
      <t xml:space="preserve">3 x 6 </t>
    </r>
    <r>
      <rPr>
        <sz val="10"/>
        <rFont val="Arial"/>
        <charset val="0"/>
      </rPr>
      <t>½</t>
    </r>
  </si>
  <si>
    <t>Walnut + Wenge (4039+858)</t>
  </si>
  <si>
    <t>CS-120 (120.4 RE)</t>
  </si>
  <si>
    <r>
      <rPr>
        <sz val="10"/>
        <rFont val="Cambria"/>
        <charset val="0"/>
      </rPr>
      <t xml:space="preserve">4 x 6 </t>
    </r>
    <r>
      <rPr>
        <sz val="10"/>
        <rFont val="Arial"/>
        <charset val="0"/>
      </rPr>
      <t>½</t>
    </r>
  </si>
  <si>
    <t>Walnut + Wenge (4039+859)</t>
  </si>
  <si>
    <t>CS-120 (120.5 RE)</t>
  </si>
  <si>
    <t>Walnut + Wenge (4039+860)</t>
  </si>
  <si>
    <t>Walnut + Wenge (4039+861)</t>
  </si>
  <si>
    <t>CS-120 (120.5 TS)</t>
  </si>
  <si>
    <t>Queen Bed With Top storage</t>
  </si>
  <si>
    <t>Walnut + Wenge (4039+862)</t>
  </si>
  <si>
    <t>CS-120 (120.6 TS)</t>
  </si>
  <si>
    <t>King  Bed With Top storage</t>
  </si>
  <si>
    <t>Walnut + Wenge (4039+863)</t>
  </si>
  <si>
    <t>CS-120 (120.3 P)</t>
  </si>
  <si>
    <t>Wardrobe 3 Door with Mirror 15 mm</t>
  </si>
  <si>
    <t>1935 H X485 D  X 1200 W</t>
  </si>
  <si>
    <t>Walnut + Wenge (4039+864)</t>
  </si>
  <si>
    <t>CS-120 (120.2 P)</t>
  </si>
  <si>
    <t>Wardrobe 2 Door  with Mirror 15 mm</t>
  </si>
  <si>
    <t>1935 H X485 D  X 900 W</t>
  </si>
  <si>
    <t>Walnut + Wenge (4039+865)</t>
  </si>
  <si>
    <t>CS-120 (ST-108)</t>
  </si>
  <si>
    <t>450 H x 450 D  x 450 W</t>
  </si>
  <si>
    <t>Walnut + Wenge (4039+866)</t>
  </si>
  <si>
    <t>FK-531</t>
  </si>
  <si>
    <t xml:space="preserve"> Bed  with Top Storage 15 mm</t>
  </si>
  <si>
    <t>5X6.5</t>
  </si>
  <si>
    <t xml:space="preserve">Dark ELM </t>
  </si>
  <si>
    <t>FK-531 A</t>
  </si>
  <si>
    <t xml:space="preserve"> Bed with Top Storage 15 mm</t>
  </si>
  <si>
    <t>6X6.5</t>
  </si>
  <si>
    <t>CS-118 (118.3 P)</t>
  </si>
  <si>
    <t>1200Wx485DX1930H</t>
  </si>
  <si>
    <t>CS-118 (DT-105)</t>
  </si>
  <si>
    <t>1915 H X450 D X500 W</t>
  </si>
  <si>
    <t>CS-118 (ST-107)</t>
  </si>
  <si>
    <t>Side Table- 15 mm</t>
  </si>
  <si>
    <t>450 Wx400 H x400 D</t>
  </si>
  <si>
    <t>FK-524</t>
  </si>
  <si>
    <t xml:space="preserve"> Bed with Top Storage 15mm</t>
  </si>
  <si>
    <t>5 x 6 ½</t>
  </si>
  <si>
    <t>Dark ELM + 2257</t>
  </si>
  <si>
    <t>FK-524 A</t>
  </si>
  <si>
    <t>6 x 6 ½</t>
  </si>
  <si>
    <t>CS-117 (117.2 P)</t>
  </si>
  <si>
    <t>900Wx485DX1930H</t>
  </si>
  <si>
    <t>CS-117 (117.2 .1M)</t>
  </si>
  <si>
    <t>Wardrobe 2 Door with Mirror 15 mm</t>
  </si>
  <si>
    <t>CS-117 (DT-104)</t>
  </si>
  <si>
    <t>500 W x 400 D  x 1730 H</t>
  </si>
  <si>
    <t>CS-117 (ST-106)</t>
  </si>
  <si>
    <t>Side Table-15 mm</t>
  </si>
  <si>
    <t>450 W x400 H x400 D</t>
  </si>
  <si>
    <t>CS-116 (116.5 NHDS)</t>
  </si>
  <si>
    <t>Dark Wallnut + PA-105</t>
  </si>
  <si>
    <t>CS-116 (116.6 NHDS)</t>
  </si>
  <si>
    <t>CS-116 (116.3 P)</t>
  </si>
  <si>
    <t>1200 W x 520 D x 2100 H</t>
  </si>
  <si>
    <t>CS-116 (DT-103)</t>
  </si>
  <si>
    <t>500  W x 400 D x 1900 H</t>
  </si>
  <si>
    <t>CS-116 (ST-105)</t>
  </si>
  <si>
    <t>500  W x 400 D  x 400 H</t>
  </si>
  <si>
    <t>CS-115 (22.3)</t>
  </si>
  <si>
    <t>Diwan with Shutter</t>
  </si>
  <si>
    <t>2  ½ x 6</t>
  </si>
  <si>
    <t>BT</t>
  </si>
  <si>
    <t>CS-112 (112.5 TS)</t>
  </si>
  <si>
    <t>Bed with Top Storage 15mm</t>
  </si>
  <si>
    <t>Cloud Ash and D. wallnut HGL</t>
  </si>
  <si>
    <t>CS-112 (112.6 TS)</t>
  </si>
  <si>
    <t>CS-112 (112.2 P)</t>
  </si>
  <si>
    <t>Wardrobe 2 Door 15mm</t>
  </si>
  <si>
    <t xml:space="preserve">800 W x530 D x1935 H </t>
  </si>
  <si>
    <t>CS-112 (111.3 P)</t>
  </si>
  <si>
    <t xml:space="preserve"> Wardrobe 3 Door 15mm</t>
  </si>
  <si>
    <t>1200 W x530 D x1935 H</t>
  </si>
  <si>
    <t>CS-112 (DT-100)</t>
  </si>
  <si>
    <t>Dressing Table 15mm</t>
  </si>
  <si>
    <t>1800 H x 450 D x 450 W</t>
  </si>
  <si>
    <t>CS-112 (ST-102)</t>
  </si>
  <si>
    <t>Side Table 15mm</t>
  </si>
  <si>
    <t>450 H x 450 Dx 450 W</t>
  </si>
  <si>
    <t>CS-110 (110.5 NHDS)</t>
  </si>
  <si>
    <t>Bed with New Hydraulic 15mm</t>
  </si>
  <si>
    <t xml:space="preserve">Virgin Oak + D. Wallnut </t>
  </si>
  <si>
    <t>CS-110 (110.6 NHDS)</t>
  </si>
  <si>
    <t>CS-110 (110.3 P)</t>
  </si>
  <si>
    <t xml:space="preserve">Wardrobe 3 door 15mm  </t>
  </si>
  <si>
    <t>CS-110 (DT-98)</t>
  </si>
  <si>
    <t>450 W x400 D x1820 H</t>
  </si>
  <si>
    <t>CS-110 (ST-100)</t>
  </si>
  <si>
    <t>450 H x400 D x450 W</t>
  </si>
  <si>
    <t>CS-109 (109.5 NHDS)</t>
  </si>
  <si>
    <r>
      <rPr>
        <sz val="12"/>
        <rFont val="Cambria"/>
        <charset val="0"/>
      </rPr>
      <t xml:space="preserve">5 x 6 </t>
    </r>
    <r>
      <rPr>
        <sz val="12"/>
        <rFont val="Arial"/>
        <charset val="0"/>
      </rPr>
      <t>½</t>
    </r>
  </si>
  <si>
    <t>D.ebony +Dream White+PU Black HGL</t>
  </si>
  <si>
    <t>CS-109 (109.6 NHDS)</t>
  </si>
  <si>
    <r>
      <rPr>
        <sz val="12"/>
        <rFont val="Cambria"/>
        <charset val="0"/>
      </rPr>
      <t xml:space="preserve">6 x 6 </t>
    </r>
    <r>
      <rPr>
        <sz val="12"/>
        <rFont val="Arial"/>
        <charset val="0"/>
      </rPr>
      <t>½</t>
    </r>
  </si>
  <si>
    <t>CS-109 (109.3 P)</t>
  </si>
  <si>
    <t>1200 W x520 D x2100 H</t>
  </si>
  <si>
    <t>CS-109 (DT-97)</t>
  </si>
  <si>
    <t>745 W x400 D x1875 H</t>
  </si>
  <si>
    <t>CS-109 (ST-99)</t>
  </si>
  <si>
    <t>CS-107 (107.5 NHDS)</t>
  </si>
  <si>
    <t xml:space="preserve">Prelam Particle 858 + Polished </t>
  </si>
  <si>
    <t>CS-107 (107.6 NHDS)</t>
  </si>
  <si>
    <t>CS-107 (83.3 P)</t>
  </si>
  <si>
    <t>1350 W x520 D x2100 H</t>
  </si>
  <si>
    <t>CS-107 (83.4 P)</t>
  </si>
  <si>
    <t xml:space="preserve">1800 W x520 D x2100 H </t>
  </si>
  <si>
    <t>CS-107 (DT-95)</t>
  </si>
  <si>
    <t>700 W x400 D x1855 H</t>
  </si>
  <si>
    <t>CS-107 (ST-97)</t>
  </si>
  <si>
    <t>500 W x400 D x450 H</t>
  </si>
  <si>
    <t>CS-103 (103.5 NHDS)</t>
  </si>
  <si>
    <t>2257+Wenge Foil</t>
  </si>
  <si>
    <t>CS-103 (103.6 NHDS)</t>
  </si>
  <si>
    <t>CS-103 (103.3 P)</t>
  </si>
  <si>
    <t>1200 W x580 D x2200 H</t>
  </si>
  <si>
    <t>CS-103 (DT-92)</t>
  </si>
  <si>
    <t>800 W x400 D x1800 H</t>
  </si>
  <si>
    <t>CS-103 (ST-94)</t>
  </si>
  <si>
    <t>450 W x400 D x400 H</t>
  </si>
  <si>
    <t>CS-98 (SCB- 5)</t>
  </si>
  <si>
    <t>Sofa cum bed without Mattress</t>
  </si>
  <si>
    <t>5 x 6 1/4</t>
  </si>
  <si>
    <t>Cario Wallnut + 2247 (Dream White)</t>
  </si>
  <si>
    <t>CS-98 (SCB- 6)</t>
  </si>
  <si>
    <t>6 x 6 1/4</t>
  </si>
  <si>
    <t>CS-98 (Mattress-5)</t>
  </si>
  <si>
    <t>only Mattress 5Ft</t>
  </si>
  <si>
    <t>Cloud Ash-Frosty White</t>
  </si>
  <si>
    <t>CS-98 (Mattress-6)</t>
  </si>
  <si>
    <t>only Mattress 6Ft</t>
  </si>
  <si>
    <t>CS-96 (96.5 NHDS)</t>
  </si>
  <si>
    <t>CS-96 (96.6 NHDS)</t>
  </si>
  <si>
    <t>CS-96 (96.3 P)</t>
  </si>
  <si>
    <t>1200(W)x530(D)x2100(H)</t>
  </si>
  <si>
    <t>CS-96 (DT-88)</t>
  </si>
  <si>
    <t>700(W)x400(D)x1800(H)</t>
  </si>
  <si>
    <t>CS-96 (ST-90)</t>
  </si>
  <si>
    <t>450(W)x400(D)x400(H)</t>
  </si>
  <si>
    <t>CS-75 (75.5 NHDS)</t>
  </si>
  <si>
    <t>2257 + Glossy Black</t>
  </si>
  <si>
    <t>CS-75 (75.6 NHDS)</t>
  </si>
  <si>
    <t>CS-75N (68.3P)</t>
  </si>
  <si>
    <t>Wardrobe 3 door</t>
  </si>
  <si>
    <t>CS-75 (DT-67)</t>
  </si>
  <si>
    <t>800 W x 400 D x 1800 H</t>
  </si>
  <si>
    <t>CS-75 (ST-70)</t>
  </si>
  <si>
    <t>450 H x 400 D x 450 W</t>
  </si>
  <si>
    <t>CS-72 (72.5 NHDS)</t>
  </si>
  <si>
    <t>Dark Wallnut + PU White</t>
  </si>
  <si>
    <t>CS-72 (72.6 NHDS)</t>
  </si>
  <si>
    <t>CS-72 N (65.3 P)</t>
  </si>
  <si>
    <t>1200 W x 520 D  x 2100 H</t>
  </si>
  <si>
    <t>CS-72 (DT-64)</t>
  </si>
  <si>
    <t>600 W x 400 D  x 1800 H</t>
  </si>
  <si>
    <t>CS-72 (ST-67)</t>
  </si>
  <si>
    <t>500 W x 400 D x 400 H</t>
  </si>
  <si>
    <t>CS-62 (62.5 NHDS)</t>
  </si>
  <si>
    <t>2258-2257 -858</t>
  </si>
  <si>
    <t>CS-62  (62.6 NHDS)</t>
  </si>
  <si>
    <t>CS-62N (56.3P)</t>
  </si>
  <si>
    <t>2100 H x1200 W x 520 D</t>
  </si>
  <si>
    <t>CS-62 (DT-55)</t>
  </si>
  <si>
    <t>1920 H x 600 W x 400 D</t>
  </si>
  <si>
    <t>CS-62 (ST-58)</t>
  </si>
  <si>
    <t>CS-52 (52.5 NHDS)</t>
  </si>
  <si>
    <t xml:space="preserve">4039 + F.White </t>
  </si>
  <si>
    <t>CS-52 (52.6 NHDS)</t>
  </si>
  <si>
    <t>CS-52 (DT-45)</t>
  </si>
  <si>
    <t>450 D X 600 W X 1890 H</t>
  </si>
  <si>
    <t>CS-52 (ST-48)</t>
  </si>
  <si>
    <t>450 D X 450 W X 1000 H</t>
  </si>
  <si>
    <t>CS-38 (37.5 JD)</t>
  </si>
  <si>
    <t>Bed with Jumbo Drawer 15mm</t>
  </si>
  <si>
    <t>5 X 6 1/2</t>
  </si>
  <si>
    <t>Wenge 858</t>
  </si>
  <si>
    <t>CS-38 (37.6 JD)</t>
  </si>
  <si>
    <t>6 X 6 1/2</t>
  </si>
  <si>
    <t>CS-38 (31.3 P)</t>
  </si>
  <si>
    <t>1935 H x 1200 W x 470 D</t>
  </si>
  <si>
    <t>CS-38 (DT-30)</t>
  </si>
  <si>
    <t>1800 H x 700 W x 400 D</t>
  </si>
  <si>
    <t>CS-38 (ST-33)</t>
  </si>
  <si>
    <t>600 W x 450 H x 400 D</t>
  </si>
  <si>
    <t>CS-29 (28.5 NHDS)</t>
  </si>
  <si>
    <t>858 + PA-108</t>
  </si>
  <si>
    <t>CS-29 (28.6 NHDS)</t>
  </si>
  <si>
    <t>CS-29 (DT-21)</t>
  </si>
  <si>
    <t>1855H x 800 Wx 400 D</t>
  </si>
  <si>
    <t>CS-29 (ST-24)</t>
  </si>
  <si>
    <t>400 D x 450 Hx 450 W</t>
  </si>
  <si>
    <t>CS-26 (26.5 TS)</t>
  </si>
  <si>
    <t>CS-26 (26.6 TS)</t>
  </si>
  <si>
    <t>CS-26 (20.2 P)</t>
  </si>
  <si>
    <t>Wardrobe (15mm) 2 door  15mm</t>
  </si>
  <si>
    <t>800W x 470D x 1915H</t>
  </si>
  <si>
    <t>CS-26 (DT-19)</t>
  </si>
  <si>
    <t>1900H x 500W x 450D</t>
  </si>
  <si>
    <t>CS-26 ( ST-22)</t>
  </si>
  <si>
    <t>400H x 450D x 440W</t>
  </si>
  <si>
    <t>CS-26 (26.5 NHDS)</t>
  </si>
  <si>
    <t>CS-26 (26.6 NHDS)</t>
  </si>
  <si>
    <t>CS-26 (20.3 P)</t>
  </si>
  <si>
    <t>1200W x 470D x 1915H</t>
  </si>
  <si>
    <t>CS-20 (SCB- 5)</t>
  </si>
  <si>
    <t>Sofa cum bed with Storage</t>
  </si>
  <si>
    <t>Walnut+Wenge (4039+858)</t>
  </si>
  <si>
    <t>CS-20 (SCB- 6)</t>
  </si>
  <si>
    <t>CS-20 (Mattress-5)</t>
  </si>
  <si>
    <t>CS-20 (Mattress-6)</t>
  </si>
  <si>
    <t>CS-19 (22.3)</t>
  </si>
  <si>
    <t>Diwan with Top Storage</t>
  </si>
  <si>
    <t>2 1/2 x 6</t>
  </si>
  <si>
    <t>BT-Foil</t>
  </si>
  <si>
    <t>CS-19 (22.3A)</t>
  </si>
  <si>
    <t>3 x 6</t>
  </si>
  <si>
    <t>CS-19 (22.4)</t>
  </si>
  <si>
    <t>4 x 6</t>
  </si>
  <si>
    <t>MD-201 (201.5 HDS)</t>
  </si>
  <si>
    <t xml:space="preserve"> Bed with full Hydraulic</t>
  </si>
  <si>
    <t>WENGE</t>
  </si>
  <si>
    <t>MD-201 (201.6 HDS)</t>
  </si>
  <si>
    <t>Bed with Full  Hydraulic</t>
  </si>
  <si>
    <t>MD-201 (201.3 P)</t>
  </si>
  <si>
    <t>1935H x 1200W x 520D</t>
  </si>
  <si>
    <t>MD-201 (201.2 P)</t>
  </si>
  <si>
    <t>Wardrobe 2 door</t>
  </si>
  <si>
    <t>1935H x 800W x 520D</t>
  </si>
  <si>
    <t>MD-201 (DT-201)</t>
  </si>
  <si>
    <t>1800 Hx 600W x 400D</t>
  </si>
  <si>
    <t>MD-201 (ST-201)</t>
  </si>
  <si>
    <t>400H x 450W x 400D</t>
  </si>
  <si>
    <t>MD-202 (202.5 HDS)</t>
  </si>
  <si>
    <t>Bed with full Hydraulic</t>
  </si>
  <si>
    <t>WENGE + LIGHT BROWN</t>
  </si>
  <si>
    <t>MD-202 (202.6 HDS)</t>
  </si>
  <si>
    <t>MD-202 (202.3 P)</t>
  </si>
  <si>
    <t>MD-202 (202.2 P)</t>
  </si>
  <si>
    <t>MD-202 (DT-202)</t>
  </si>
  <si>
    <t>MD-202 (ST-202)</t>
  </si>
  <si>
    <t>MD-203 (203.5 HDS)</t>
  </si>
  <si>
    <t>MD-203 (203.6 HDS)</t>
  </si>
  <si>
    <t>MD-203 (203.3 P)</t>
  </si>
  <si>
    <t>MD-203 (203.2 P)</t>
  </si>
  <si>
    <t>MD-203 (DT-203)</t>
  </si>
  <si>
    <t>1800H x 675W x 400D</t>
  </si>
  <si>
    <t>MD-203 (ST-203)</t>
  </si>
  <si>
    <t>875H x 535W X 450D</t>
  </si>
  <si>
    <t>MD-204 (204.5 HDS)</t>
  </si>
  <si>
    <t>DARK BROWN</t>
  </si>
  <si>
    <t>MD-204 (204.6 HDS)</t>
  </si>
  <si>
    <t>MD-204 (204.3 P)</t>
  </si>
  <si>
    <t>MD-204 (204.2 P)</t>
  </si>
  <si>
    <t>MD-204 (DT-204)</t>
  </si>
  <si>
    <t>MD-204 (ST-204)</t>
  </si>
  <si>
    <t>MD-205 (205.5 HDS)</t>
  </si>
  <si>
    <t>MD-205 (205.6 HDS)</t>
  </si>
  <si>
    <t>MD-205 (205.3 P)</t>
  </si>
  <si>
    <t>1935H  x 1200W x 520D</t>
  </si>
  <si>
    <t>MD-205 (205.2 P)</t>
  </si>
  <si>
    <t>1935H  x 800W x 520D</t>
  </si>
  <si>
    <t>MD-205 (DT-205)</t>
  </si>
  <si>
    <t>1800H x 600W x 400D</t>
  </si>
  <si>
    <t>MD-205 (ST-205)</t>
  </si>
  <si>
    <t>700H x 500W x 400D</t>
  </si>
  <si>
    <t>MD-206 (206.5 HDS)</t>
  </si>
  <si>
    <t>DARK BROWN + LIGHT BROWN</t>
  </si>
  <si>
    <t>MD-206 (206.6 HDS)</t>
  </si>
  <si>
    <t>MD-206 (206.3 P)</t>
  </si>
  <si>
    <t>MD-206 (206.2 P)</t>
  </si>
  <si>
    <t>MD-206 (DT-206)</t>
  </si>
  <si>
    <t>MD-206 (ST-206)</t>
  </si>
  <si>
    <t>MD-207 (207.5 HDS)</t>
  </si>
  <si>
    <t>MD-207 (207.6 HDS)</t>
  </si>
  <si>
    <t>MD-207 (207.3 P)</t>
  </si>
  <si>
    <t>MD-207 (207.2 P)</t>
  </si>
  <si>
    <t>MD-207 (DT-207)</t>
  </si>
  <si>
    <t>1800H x 800W x 400D</t>
  </si>
  <si>
    <t>MD-207 (ST-207)</t>
  </si>
  <si>
    <t>MD-208 (208.5 HDS)</t>
  </si>
  <si>
    <t>MD-208 (208.6 HDS)</t>
  </si>
  <si>
    <t>MD-208 (208.3 P)</t>
  </si>
  <si>
    <t>MD-208 (208.2 P)</t>
  </si>
  <si>
    <t>MD-208 (DT-208)</t>
  </si>
  <si>
    <t>MD-208 (ST-208)</t>
  </si>
  <si>
    <t>MD-209 (209.5 HDS)</t>
  </si>
  <si>
    <t>MD-209 (209.6 HDS)</t>
  </si>
  <si>
    <t>MD-209 (209.3 P)</t>
  </si>
  <si>
    <t>1935H x 1200W x 520 D</t>
  </si>
  <si>
    <t>MD-209 (209.2 P)</t>
  </si>
  <si>
    <t>1935H x 800W x 520 D</t>
  </si>
  <si>
    <t>MD-209 (DT-209)</t>
  </si>
  <si>
    <t>MD-209 (ST-209)</t>
  </si>
  <si>
    <t>550H x 450W x 400D</t>
  </si>
  <si>
    <t>MD-210 (210.5 HDS)</t>
  </si>
  <si>
    <t>WENGE + DARK BROWN</t>
  </si>
  <si>
    <t>MD-210 (210.6 HDS)</t>
  </si>
  <si>
    <t>MD-210 (210.3 P)</t>
  </si>
  <si>
    <t>MD-210 (210.2 P)</t>
  </si>
  <si>
    <t>MD-210 (DT-210)</t>
  </si>
  <si>
    <t>MD-210 (ST-210)</t>
  </si>
  <si>
    <t>MD-211 (211.5 HDS)</t>
  </si>
  <si>
    <t>MD-211 (211.6 HDS)</t>
  </si>
  <si>
    <t>MD-211 (211.3 P)</t>
  </si>
  <si>
    <t>MD-211 (211.2 P)</t>
  </si>
  <si>
    <t>MD-211 (DT-211)</t>
  </si>
  <si>
    <t>1800H x700W x 400D</t>
  </si>
  <si>
    <t>MD-211 (ST-211)</t>
  </si>
  <si>
    <t>MD-212 (212.5 HDS)</t>
  </si>
  <si>
    <t>MD-212 (212.6 HDS)</t>
  </si>
  <si>
    <t>MD-212 (212.3 P)</t>
  </si>
  <si>
    <t>MD-212 (212.2 P)</t>
  </si>
  <si>
    <t>MD-212 (DT-212)</t>
  </si>
  <si>
    <t>MD-212 (ST-212)</t>
  </si>
  <si>
    <t>MD-213 (213.5 HDS)</t>
  </si>
  <si>
    <t>MD-213 (213.6 HDS)</t>
  </si>
  <si>
    <t>MD-213 (213.3 P)</t>
  </si>
  <si>
    <t>MD-213 (213.2 P)</t>
  </si>
  <si>
    <t>MD-213 (DT-213)</t>
  </si>
  <si>
    <t>MD-213 (ST-213)</t>
  </si>
  <si>
    <t>MD-214 (214.5 HDS)</t>
  </si>
  <si>
    <t>DARK BROWN +LIGHT BROWN</t>
  </si>
  <si>
    <t>MD-214 (214.6 HDS)</t>
  </si>
  <si>
    <t>MD-214 (214.3 P)</t>
  </si>
  <si>
    <t>MD-214 (214.2 P)</t>
  </si>
  <si>
    <t>MD-214 (DT-214)</t>
  </si>
  <si>
    <t>MD-214 (ST-214)</t>
  </si>
  <si>
    <t>MD-215 (215.5 HDS)</t>
  </si>
  <si>
    <t>MD-215 (215.6 HDS)</t>
  </si>
  <si>
    <t>MD-215 (215.3 P)</t>
  </si>
  <si>
    <t>MD-215 (215.2 P)</t>
  </si>
  <si>
    <t>MD-215 (DT-215)</t>
  </si>
  <si>
    <t>1800H x 700W x 400D</t>
  </si>
  <si>
    <t>MD-215 (ST-215)</t>
  </si>
  <si>
    <t>MD-216 (216.5 HDS)</t>
  </si>
  <si>
    <t>MD-216 (216.6 HDS)</t>
  </si>
  <si>
    <t>MD-216 (216.3 P)</t>
  </si>
  <si>
    <t>MD-216 (216.2 P)</t>
  </si>
  <si>
    <t>MD-216 (DT-216)</t>
  </si>
  <si>
    <t>MD-216 (ST-216)</t>
  </si>
  <si>
    <t>DP &amp; MRPWardrobe Price List</t>
  </si>
  <si>
    <t>WL-35 (with Mirror)</t>
  </si>
  <si>
    <r>
      <rPr>
        <sz val="12"/>
        <color theme="1"/>
        <rFont val="Cambria"/>
        <charset val="0"/>
      </rPr>
      <t>Wardrobe 2 Door with</t>
    </r>
    <r>
      <rPr>
        <sz val="12"/>
        <color rgb="FF000000"/>
        <rFont val="Cambria"/>
        <charset val="0"/>
      </rPr>
      <t xml:space="preserve"> 
</t>
    </r>
  </si>
  <si>
    <t>1935Hx 800W x 470D</t>
  </si>
  <si>
    <t>WL-36 (with Mirror)</t>
  </si>
  <si>
    <r>
      <rPr>
        <sz val="12"/>
        <color theme="1"/>
        <rFont val="Cambria"/>
        <charset val="0"/>
      </rPr>
      <t>Wardrobe 3 Door with</t>
    </r>
    <r>
      <rPr>
        <b/>
        <sz val="12"/>
        <color rgb="FF800000"/>
        <rFont val="Cambria"/>
        <charset val="0"/>
      </rPr>
      <t xml:space="preserve"> 
</t>
    </r>
  </si>
  <si>
    <t>1935H x 1200 W x 470D</t>
  </si>
  <si>
    <t>WL-43- Magna</t>
  </si>
  <si>
    <t xml:space="preserve">Wardrobe 3 Door </t>
  </si>
  <si>
    <t>1935 H x 1800 W  x 600 D</t>
  </si>
  <si>
    <t>N.wood +f. white +black leather </t>
  </si>
  <si>
    <t>4039+black </t>
  </si>
  <si>
    <t>WL-63 A</t>
  </si>
  <si>
    <t>2 Door Sliding wardrobe</t>
  </si>
  <si>
    <t>858 wp+ f. white </t>
  </si>
  <si>
    <t>WL-63 B</t>
  </si>
  <si>
    <t>4039 + f. white </t>
  </si>
  <si>
    <t>WL-50 A</t>
  </si>
  <si>
    <t>Wardrobe 2 Door with mirror 15 mm</t>
  </si>
  <si>
    <t>800Wx435DX1830H</t>
  </si>
  <si>
    <t>WL-51 A</t>
  </si>
  <si>
    <t>WL-52 A</t>
  </si>
  <si>
    <t>DP &amp; MRP Flipkart Price List</t>
  </si>
  <si>
    <t>Item Code</t>
  </si>
  <si>
    <t>Size</t>
  </si>
  <si>
    <t xml:space="preserve">Colour </t>
  </si>
  <si>
    <t>DP Price</t>
  </si>
  <si>
    <t>FK-520</t>
  </si>
  <si>
    <t xml:space="preserve">SIDE BOARD </t>
  </si>
  <si>
    <t xml:space="preserve">1380 H x1200 W x400 D </t>
  </si>
  <si>
    <t>Cario Wallnut</t>
  </si>
  <si>
    <t>FK-527</t>
  </si>
  <si>
    <t>BAR CABINET</t>
  </si>
  <si>
    <t>750 W X350 D X1000 H</t>
  </si>
  <si>
    <t>FK-529</t>
  </si>
  <si>
    <t>SIDE BOARD</t>
  </si>
  <si>
    <t xml:space="preserve">1200 WX400 D X750 H </t>
  </si>
  <si>
    <t>Cairo Wallnut</t>
  </si>
  <si>
    <t>FK-519</t>
  </si>
  <si>
    <t xml:space="preserve">CROCKERY UNIT TALL </t>
  </si>
  <si>
    <t xml:space="preserve">1900 H x800 W x380 D </t>
  </si>
  <si>
    <t>FK-522</t>
  </si>
  <si>
    <t xml:space="preserve">TV UNIT </t>
  </si>
  <si>
    <t xml:space="preserve">1800 H x1985 W x390 D </t>
  </si>
  <si>
    <t>FK-523</t>
  </si>
  <si>
    <t xml:space="preserve">500 H x1200 W x400 D </t>
  </si>
  <si>
    <t>Dark ELM + WHITE</t>
  </si>
  <si>
    <t>FK-526</t>
  </si>
  <si>
    <t>TV UNIT</t>
  </si>
  <si>
    <t xml:space="preserve">1500 W x 390  D x 1710 H </t>
  </si>
  <si>
    <t>FK-525</t>
  </si>
  <si>
    <t xml:space="preserve">1800 H  x 400 D  x 1800 W </t>
  </si>
  <si>
    <t>Dark ELM + 10007</t>
  </si>
  <si>
    <t>FK-504</t>
  </si>
  <si>
    <t>Coffe Table</t>
  </si>
  <si>
    <t xml:space="preserve">380 H x1180 W x600 D </t>
  </si>
  <si>
    <t>4039+858</t>
  </si>
  <si>
    <t>DP &amp; MRP CSI  Price List</t>
  </si>
  <si>
    <t>CSI-28</t>
  </si>
  <si>
    <t>Sitting Shoe Rack With Cushion</t>
  </si>
  <si>
    <t>800 Wx 390 D x 450 H</t>
  </si>
  <si>
    <t>Wenge (858)</t>
  </si>
  <si>
    <t>CSI-57 A</t>
  </si>
  <si>
    <t>Shoe Rack With Drawer</t>
  </si>
  <si>
    <t>1200 W x400 D x600 H</t>
  </si>
  <si>
    <t>Wenge + Walnut (858 + 4039)</t>
  </si>
  <si>
    <t>CSI-57 B</t>
  </si>
  <si>
    <t>800 W x400 D x600 H</t>
  </si>
  <si>
    <t>CSI-75</t>
  </si>
  <si>
    <t>Corner Unit</t>
  </si>
  <si>
    <t>400wx400Dx1500H</t>
  </si>
  <si>
    <t>Wenge (858)/Burma Teak</t>
  </si>
  <si>
    <t>CSI-76</t>
  </si>
  <si>
    <t xml:space="preserve">Corner Unit </t>
  </si>
  <si>
    <t>400wx400Dx1200H</t>
  </si>
  <si>
    <t>CSI-2</t>
  </si>
  <si>
    <t>Study Table with drawer</t>
  </si>
  <si>
    <t>1080Wx1200Hx400D</t>
  </si>
  <si>
    <t>Wenge (858)+4039</t>
  </si>
  <si>
    <t>CSI-5</t>
  </si>
  <si>
    <t>Study Table With Rack</t>
  </si>
  <si>
    <t>900Wx600Dx1500H</t>
  </si>
  <si>
    <t>CSI-14</t>
  </si>
  <si>
    <t>Study Table with 3 Drawer</t>
  </si>
  <si>
    <t>1200Wx600Dx750H</t>
  </si>
  <si>
    <t>CSI- 19</t>
  </si>
  <si>
    <t>1500 H x 1200 W x 600 D</t>
  </si>
  <si>
    <t>CSI-61</t>
  </si>
  <si>
    <t>750 H X 900 W X 450 D</t>
  </si>
  <si>
    <t>Wenge or Burma Teak</t>
  </si>
  <si>
    <t>CSI-63</t>
  </si>
  <si>
    <t xml:space="preserve">Wenge </t>
  </si>
  <si>
    <t>CSI-64</t>
  </si>
  <si>
    <t>Office Table</t>
  </si>
  <si>
    <t>750 H X 1500 W X 750 D</t>
  </si>
  <si>
    <t>CSI-83</t>
  </si>
  <si>
    <t>Book Shelf</t>
  </si>
  <si>
    <t xml:space="preserve">600 W x330 D x812 H </t>
  </si>
  <si>
    <t>Wenge</t>
  </si>
  <si>
    <t>CSI-84</t>
  </si>
  <si>
    <t xml:space="preserve">600 W x350 D x1650 H </t>
  </si>
  <si>
    <t>CSI-70</t>
  </si>
  <si>
    <t>Book Rack</t>
  </si>
  <si>
    <t>800Wx430DX1925H</t>
  </si>
  <si>
    <t>CSI-72</t>
  </si>
  <si>
    <t>Storage (15mm prealm)</t>
  </si>
  <si>
    <t>600 Wx380Dx1485H</t>
  </si>
  <si>
    <t>CSI-73</t>
  </si>
  <si>
    <t>Tall Book Rack-Half Glass</t>
  </si>
  <si>
    <t>400Wx420DX1825H</t>
  </si>
  <si>
    <t>2258+2257</t>
  </si>
  <si>
    <t>CSI-74</t>
  </si>
  <si>
    <t>Tall Book Rack</t>
  </si>
  <si>
    <t>CSI-32</t>
  </si>
  <si>
    <t xml:space="preserve">T.V Unit </t>
  </si>
  <si>
    <t>710 H x 450 Dx 1280 W</t>
  </si>
  <si>
    <t>CSI-68</t>
  </si>
  <si>
    <t>TV Unit</t>
  </si>
  <si>
    <t>1180Wx440DX635H</t>
  </si>
  <si>
    <t>CSI-13</t>
  </si>
  <si>
    <t>1200Wx390Dx630H</t>
  </si>
  <si>
    <t>CSI-77</t>
  </si>
  <si>
    <t>TV unit</t>
  </si>
  <si>
    <t>1350Wx450DX1910H</t>
  </si>
  <si>
    <t>858+Red</t>
  </si>
  <si>
    <t>WTV-6</t>
  </si>
  <si>
    <t>Wall TV Unit</t>
  </si>
  <si>
    <t>1580 H   x 1550 W x 400 D</t>
  </si>
  <si>
    <t>CSI-50 A</t>
  </si>
  <si>
    <t>Oria TV Unit</t>
  </si>
  <si>
    <t xml:space="preserve">1800 W x 400 D  x 1657 H </t>
  </si>
  <si>
    <t>Virgin oak</t>
  </si>
  <si>
    <t>CSI-29</t>
  </si>
  <si>
    <t>Centre Table</t>
  </si>
  <si>
    <t xml:space="preserve">850 W x 420 H x 590 D </t>
  </si>
  <si>
    <t>CSI-30</t>
  </si>
  <si>
    <t xml:space="preserve">450 H x 800 W x 450 D </t>
  </si>
  <si>
    <t>CSI-66</t>
  </si>
  <si>
    <t>900 W x 450 Dx 470 H</t>
  </si>
  <si>
    <t>CSI-92</t>
  </si>
  <si>
    <t>CROCKERY UNIT TALL</t>
  </si>
  <si>
    <t>1040 D X 450 W X1950 H</t>
  </si>
  <si>
    <t xml:space="preserve">  BEDROOM PRICE LIST</t>
  </si>
  <si>
    <t>MRP price</t>
  </si>
  <si>
    <t>Dp Price</t>
  </si>
  <si>
    <t>WTV-4</t>
  </si>
  <si>
    <t>1500 x 1200 x 600</t>
  </si>
  <si>
    <t>1580 x 1550 x 400</t>
  </si>
  <si>
    <t>SHR 4.1</t>
  </si>
  <si>
    <t>Shoerack with Cushion</t>
  </si>
  <si>
    <t>900 x 350 x 500</t>
  </si>
  <si>
    <t xml:space="preserve">SHR 4.2 </t>
  </si>
  <si>
    <t>1200 x 350 x 500</t>
  </si>
  <si>
    <t>CT-2</t>
  </si>
  <si>
    <t>Computer Table</t>
  </si>
  <si>
    <t>900 x 580 x 750</t>
  </si>
  <si>
    <t>CT-9 A</t>
  </si>
  <si>
    <t xml:space="preserve">1200 x 600 x 750 </t>
  </si>
  <si>
    <t>CT-12</t>
  </si>
  <si>
    <t>1935 x 600 x 900</t>
  </si>
  <si>
    <t>CU-1</t>
  </si>
  <si>
    <t>340 x 800 x 270</t>
  </si>
  <si>
    <t>SC-C</t>
  </si>
  <si>
    <t>Side Credenza with 2 drw &amp; shutter,18MM Prelam (color-858)</t>
  </si>
  <si>
    <t>900 x 400 x 750</t>
  </si>
  <si>
    <t>CKU</t>
  </si>
  <si>
    <t>Crockery Unit</t>
  </si>
  <si>
    <t>800 x 460 x 1935</t>
  </si>
  <si>
    <t>CNT-1</t>
  </si>
  <si>
    <t>830 x 430 x 450</t>
  </si>
  <si>
    <t>CNT-2</t>
  </si>
  <si>
    <t>430 x 430 x 450</t>
  </si>
  <si>
    <t>CNT-3</t>
  </si>
  <si>
    <t>800 x 500 x 450</t>
  </si>
  <si>
    <t>CNT-208</t>
  </si>
  <si>
    <t>1000 (L) x 500 (D) x 450 (H)</t>
  </si>
  <si>
    <t>CNT-209</t>
  </si>
  <si>
    <t>CNT-210</t>
  </si>
  <si>
    <t>858+PA-108</t>
  </si>
  <si>
    <t>CNT-211</t>
  </si>
  <si>
    <t>D. Walnut</t>
  </si>
  <si>
    <t xml:space="preserve"> </t>
  </si>
  <si>
    <t>CNT-212</t>
  </si>
  <si>
    <t>Centre Table with 2 drawer</t>
  </si>
  <si>
    <t>1200 (L) x 600 (D) x 520 (H)</t>
  </si>
  <si>
    <t>CNT-213</t>
  </si>
  <si>
    <t>Centre Table With Shelf</t>
  </si>
  <si>
    <t>Cario Walnut</t>
  </si>
  <si>
    <t>CNT-214</t>
  </si>
  <si>
    <t>Centre Table Without  Shelf</t>
  </si>
  <si>
    <t>CNT-215</t>
  </si>
  <si>
    <t>750 x 750 x 400</t>
  </si>
  <si>
    <t>Off White</t>
  </si>
  <si>
    <t>CNT-216</t>
  </si>
  <si>
    <t>750 W x 750 D X 400 H</t>
  </si>
  <si>
    <t>Wenge 858 + Frosty White</t>
  </si>
  <si>
    <t>CNT-217</t>
  </si>
  <si>
    <t>900Wx500Dx450H</t>
  </si>
  <si>
    <t>992+White</t>
  </si>
  <si>
    <t>CNT-218</t>
  </si>
  <si>
    <t>1000Wx500Dx450H</t>
  </si>
  <si>
    <t>Dark Wallnut</t>
  </si>
  <si>
    <t>CNT-219</t>
  </si>
  <si>
    <t>900Wx500Dx425H</t>
  </si>
  <si>
    <t>CNT-220</t>
  </si>
  <si>
    <t>Folding Centre Table</t>
  </si>
  <si>
    <t>600Lx400Wx457H</t>
  </si>
  <si>
    <t>Walnut</t>
  </si>
  <si>
    <t>CNT-221</t>
  </si>
  <si>
    <t>1000 (W) x 500 (D) x 460 (H)</t>
  </si>
  <si>
    <t>Cario wallunut + F white-</t>
  </si>
  <si>
    <t>CNT-222</t>
  </si>
  <si>
    <t>460 (H)X1200(W)X600 (D)</t>
  </si>
  <si>
    <t>CNT-223</t>
  </si>
  <si>
    <t>460 (H)X1000(W)X500 (D)</t>
  </si>
  <si>
    <t>Cario wallunut + F White</t>
  </si>
  <si>
    <t>CNT-224</t>
  </si>
  <si>
    <t>Dark Ebony +Fwhite</t>
  </si>
  <si>
    <t>CNT-225</t>
  </si>
  <si>
    <t>Cario wallunut + F white</t>
  </si>
  <si>
    <t>CNT-226</t>
  </si>
  <si>
    <t>460 (H) X 1000 (W) X 500 (D)</t>
  </si>
  <si>
    <t>CNT-227</t>
  </si>
  <si>
    <t>Centre Table(Prelam MDF)</t>
  </si>
  <si>
    <t>460 (H) X 1000 (W) X 500(D)</t>
  </si>
  <si>
    <t>CNT-228</t>
  </si>
  <si>
    <t xml:space="preserve">460 (H) X 1000 (W) X 500 </t>
  </si>
  <si>
    <t>Cario wallunut + FWhite</t>
  </si>
  <si>
    <t>CNT-229</t>
  </si>
  <si>
    <t>460 (H) X 1000 (W)X 500 (D)</t>
  </si>
  <si>
    <t>CNT-230</t>
  </si>
  <si>
    <t>900(D)X900(W)X450(H)</t>
  </si>
  <si>
    <t>C walnut +MP-04 Fabric</t>
  </si>
  <si>
    <t>DP &amp; MRP CNT-MDF PRICE LIST</t>
  </si>
  <si>
    <t>CNT-701 -Wenge</t>
  </si>
  <si>
    <t>MDF Centre Table With Shelf</t>
  </si>
  <si>
    <t>400Dx900Wx450H</t>
  </si>
  <si>
    <t>Wenge+Ceramic White</t>
  </si>
  <si>
    <t>CNT-702-Wenge</t>
  </si>
  <si>
    <t>420Dx900Wx450H</t>
  </si>
  <si>
    <t>CNT-703-Wenge</t>
  </si>
  <si>
    <t>400Hx1200Wx600D</t>
  </si>
  <si>
    <t>CNT-704-Wenge</t>
  </si>
  <si>
    <t>400Hx900Wx450D</t>
  </si>
  <si>
    <t>CNT-204-Wenge</t>
  </si>
  <si>
    <t>MDF Center Table</t>
  </si>
  <si>
    <t xml:space="preserve"> 600WX600DX480H</t>
  </si>
  <si>
    <t>CNT-205-Wenge</t>
  </si>
  <si>
    <t>1200WX600DX450H</t>
  </si>
  <si>
    <t>MTV - 401 -WENGE</t>
  </si>
  <si>
    <t xml:space="preserve">MDF TV UNIT </t>
  </si>
  <si>
    <t>1200Wx400Dx500H</t>
  </si>
  <si>
    <t>MTV - 402 -WENGE</t>
  </si>
  <si>
    <t>1375Wx400Dx500H</t>
  </si>
  <si>
    <t>MTV - 403 -WENGE</t>
  </si>
  <si>
    <t>1500Wx400Dx500H</t>
  </si>
  <si>
    <t>MTV - 404-WENGE</t>
  </si>
  <si>
    <t>MTV - 405-WENGE</t>
  </si>
  <si>
    <t>MTV - 406-WENGE</t>
  </si>
  <si>
    <t>1810Wx400Dx490H</t>
  </si>
  <si>
    <t>MCD - 501-WENGE</t>
  </si>
  <si>
    <t xml:space="preserve">MDF Chest of Drawer with 4 Drawer </t>
  </si>
  <si>
    <t>780Wx430Dx1020H</t>
  </si>
  <si>
    <t>MCD - 502 -WENGE</t>
  </si>
  <si>
    <t xml:space="preserve">MDF Chest of Drawer with 3 Drawer </t>
  </si>
  <si>
    <t>780Wx430Dx795H</t>
  </si>
  <si>
    <t>MCD - 503 -WENGE</t>
  </si>
  <si>
    <t>750Wx450Dx775H</t>
  </si>
  <si>
    <t>MCD - 504-WENGE</t>
  </si>
  <si>
    <t>MSC - 601-WENGE</t>
  </si>
  <si>
    <t>MDF Storage Cabinet with Drawer + Shutter</t>
  </si>
  <si>
    <t>750Wx450Dx800H</t>
  </si>
  <si>
    <t>MSC - 602-WENGE</t>
  </si>
  <si>
    <t xml:space="preserve">MDF Storage Cabinet with 2 Drawer + Glass Cut Shutter </t>
  </si>
  <si>
    <t>MSC - 603-WENGE</t>
  </si>
  <si>
    <t>MDF Storage Cabinet with 4 Drawer + 2 SH</t>
  </si>
  <si>
    <t>1200Wx480Dx775H</t>
  </si>
  <si>
    <t>MSC - 604-WENGE</t>
  </si>
  <si>
    <t>MDF Storage Cabinet with 4 Drawer +  SH</t>
  </si>
  <si>
    <t>1190Wx430Dx1000H</t>
  </si>
  <si>
    <t>MSC - 605-WENGE</t>
  </si>
  <si>
    <t>MSC - 606-WENGE</t>
  </si>
  <si>
    <t>MSC - 607-WENGE</t>
  </si>
  <si>
    <t>MDF Storage Cabinet with 4 Drawer</t>
  </si>
  <si>
    <t>1500W x 450D x 780H</t>
  </si>
  <si>
    <t>MSC - 608-WENGE</t>
  </si>
  <si>
    <t>MDF Storage Cabinet with Drawer + SH</t>
  </si>
  <si>
    <t>1500WX450DX780H</t>
  </si>
  <si>
    <t>MSC - 609-WENGE</t>
  </si>
  <si>
    <t>MDF Storage Cabinet</t>
  </si>
  <si>
    <t>749WX480DX850H</t>
  </si>
  <si>
    <t>MSC - 610-WENGE</t>
  </si>
  <si>
    <t>1200x475x850</t>
  </si>
  <si>
    <t>MCT - 701-WENGE</t>
  </si>
  <si>
    <t>1200Wx600Dx400H</t>
  </si>
  <si>
    <t>MCT - 702-WENGE</t>
  </si>
  <si>
    <t>900Wx450Dx400H</t>
  </si>
  <si>
    <t>MCT - 703-WENGE</t>
  </si>
  <si>
    <t>1200Wx600Dx440H</t>
  </si>
  <si>
    <t>MCT - 704 A-WENGE</t>
  </si>
  <si>
    <t>1000WX450DX400H</t>
  </si>
  <si>
    <t>MCT - 704 B-WENGE</t>
  </si>
  <si>
    <t>750WX450DX400H</t>
  </si>
  <si>
    <t>MCT - 705-WENGE</t>
  </si>
  <si>
    <t>1000WX450DX450H</t>
  </si>
  <si>
    <t>CSI-47-A-Wenge</t>
  </si>
  <si>
    <t>Center Table with PU white Top &amp;
wooden leg Melamine Polish</t>
  </si>
  <si>
    <t>665 W x 375 D  x 510 H</t>
  </si>
  <si>
    <t>wenge + Ceramic White</t>
  </si>
  <si>
    <t>CSI-47-B-Wenge</t>
  </si>
  <si>
    <t>535 W x 355 D  x 490 H</t>
  </si>
  <si>
    <t>CSI-47-C-Wenge</t>
  </si>
  <si>
    <t>425 W x 310 D  x 465 H</t>
  </si>
  <si>
    <t>CSI-47-Table Set</t>
  </si>
  <si>
    <t>665/535/425 x 375/355/310 x 510/490/465</t>
  </si>
  <si>
    <t>PU White - Melamine Polish</t>
  </si>
  <si>
    <t>CNT-207-Wenge</t>
  </si>
  <si>
    <r>
      <rPr>
        <sz val="12"/>
        <color theme="1"/>
        <rFont val="Cambria"/>
        <charset val="0"/>
      </rPr>
      <t>MDF-Center Table</t>
    </r>
    <r>
      <rPr>
        <sz val="12"/>
        <color rgb="FF000000"/>
        <rFont val="Cambria"/>
        <charset val="0"/>
      </rPr>
      <t xml:space="preserve"> </t>
    </r>
  </si>
  <si>
    <t xml:space="preserve"> 600Wx600Dx480H</t>
  </si>
  <si>
    <t>MDU - 0001-Wenge</t>
  </si>
  <si>
    <t xml:space="preserve">MDF Display Unit </t>
  </si>
  <si>
    <t>860Wx440Dx1860H</t>
  </si>
  <si>
    <t>MDU - 0002-Wenge</t>
  </si>
  <si>
    <t>450Wx430Dx1900H</t>
  </si>
  <si>
    <t>DP &amp; MRP CNT Price List</t>
  </si>
  <si>
    <t xml:space="preserve">750 D x 750 W  x 400 H </t>
  </si>
  <si>
    <t>F. White</t>
  </si>
  <si>
    <t>750 D x 750 W x 400 H</t>
  </si>
  <si>
    <t>900 Wx500 Dx450 H</t>
  </si>
  <si>
    <t>Centre Table(MDF Jali)</t>
  </si>
  <si>
    <t>SR .NO</t>
  </si>
  <si>
    <t>Rate</t>
  </si>
  <si>
    <t>CSI-1  900</t>
  </si>
  <si>
    <t>Shoerack with Sitting</t>
  </si>
  <si>
    <t>800Wx900Hx600D</t>
  </si>
  <si>
    <t>4039/858</t>
  </si>
  <si>
    <t>CSI-1  1200</t>
  </si>
  <si>
    <t>800Wx1200Hx600D</t>
  </si>
  <si>
    <t>CSI-3</t>
  </si>
  <si>
    <t>Chest of Drawer</t>
  </si>
  <si>
    <t>900Wx750Hx500D</t>
  </si>
  <si>
    <t>CSI-4  -600</t>
  </si>
  <si>
    <t>Shoerack with shutter</t>
  </si>
  <si>
    <t>600Wx825Hx400D</t>
  </si>
  <si>
    <t>CSI-4 - 750</t>
  </si>
  <si>
    <t>750Wx825Hx400D</t>
  </si>
  <si>
    <t>CSI-4 -900</t>
  </si>
  <si>
    <t>900Wx825Hx400D</t>
  </si>
  <si>
    <t>CSI-6</t>
  </si>
  <si>
    <t>900Wx440Dx750H</t>
  </si>
  <si>
    <t>CSI-7</t>
  </si>
  <si>
    <t>Computer Table with 1 drawer</t>
  </si>
  <si>
    <t>CSI-8</t>
  </si>
  <si>
    <t>1350Wx600Dx750H</t>
  </si>
  <si>
    <t>CSI-9</t>
  </si>
  <si>
    <t>Corner TV Unit</t>
  </si>
  <si>
    <t>800Wx800Dx800H</t>
  </si>
  <si>
    <t>CSI-10</t>
  </si>
  <si>
    <t>800Wx300Dx1800H</t>
  </si>
  <si>
    <t>CSI-11</t>
  </si>
  <si>
    <t>Computer Table with cabinet</t>
  </si>
  <si>
    <t>CSI-12</t>
  </si>
  <si>
    <t>Computer Trolly</t>
  </si>
  <si>
    <t>770Wx450Dx780H</t>
  </si>
  <si>
    <t>CSI-15</t>
  </si>
  <si>
    <t>LCD Unit with single drawer</t>
  </si>
  <si>
    <t>1200Wx400Dx600H</t>
  </si>
  <si>
    <t>WENGE/PA-108</t>
  </si>
  <si>
    <t>CSI-16 LH</t>
  </si>
  <si>
    <t>Display unit LH</t>
  </si>
  <si>
    <t>400Wx400Dx1675H</t>
  </si>
  <si>
    <t>CSI-17 RH</t>
  </si>
  <si>
    <t>Display unit RH</t>
  </si>
  <si>
    <t>CSI-18</t>
  </si>
  <si>
    <t>LCD Unit with three drawer</t>
  </si>
  <si>
    <t xml:space="preserve">Study Table </t>
  </si>
  <si>
    <t>CSI-20</t>
  </si>
  <si>
    <t>Coffe Table-16MM</t>
  </si>
  <si>
    <t>850W x 420 D x 590H</t>
  </si>
  <si>
    <t>CSI-21</t>
  </si>
  <si>
    <t>890W x 890D x 380H</t>
  </si>
  <si>
    <t>CSI-21 A</t>
  </si>
  <si>
    <t>880x 885x290</t>
  </si>
  <si>
    <t>CSI-21 B</t>
  </si>
  <si>
    <t>Coffe Table-16MM-More Height</t>
  </si>
  <si>
    <t>880x885 x390
(as per csi-21)</t>
  </si>
  <si>
    <t>CSI-22</t>
  </si>
  <si>
    <t>Coffe Table- 16MM</t>
  </si>
  <si>
    <t>1180W x 600D x 380H</t>
  </si>
  <si>
    <t>CSI-23</t>
  </si>
  <si>
    <t>Table sets- 16MM</t>
  </si>
  <si>
    <t>450W x 450D x 450H</t>
  </si>
  <si>
    <t>CSI-24</t>
  </si>
  <si>
    <t>900W x 500D x 525H</t>
  </si>
  <si>
    <t>CSI-25</t>
  </si>
  <si>
    <t xml:space="preserve">TV unit </t>
  </si>
  <si>
    <t>400x400x1840</t>
  </si>
  <si>
    <t>CSI-26</t>
  </si>
  <si>
    <t>Shoe Cabinate.(color:858+F.white)</t>
  </si>
  <si>
    <t>650x800x400</t>
  </si>
  <si>
    <t>CSI-26 - with 3 Shutter</t>
  </si>
  <si>
    <t>Shoe Cabinate-with 3 Shutter-16MM</t>
  </si>
  <si>
    <t>1200X400X600</t>
  </si>
  <si>
    <t>858-F.White</t>
  </si>
  <si>
    <t>CSI-27</t>
  </si>
  <si>
    <t>Sliding Door Shoe Cabinate-16MM</t>
  </si>
  <si>
    <t>760x1380x350</t>
  </si>
  <si>
    <t>Sitting type Shoe Rack With Cousan-16MM</t>
  </si>
  <si>
    <t>800 x 390 450</t>
  </si>
  <si>
    <t>CSI-28 - with 3 Shutter</t>
  </si>
  <si>
    <t>Sitting Shoe Rack With 3 shutter-16MM</t>
  </si>
  <si>
    <t>1200X390X450</t>
  </si>
  <si>
    <t>CSI-28 B</t>
  </si>
  <si>
    <t xml:space="preserve">Seating Type Shoe Rack  </t>
  </si>
  <si>
    <t xml:space="preserve">800Wx390Dx450H </t>
  </si>
  <si>
    <t>Central Table-16MM</t>
  </si>
  <si>
    <t>850x420x590</t>
  </si>
  <si>
    <t>450x800x450</t>
  </si>
  <si>
    <t>CSI-31</t>
  </si>
  <si>
    <t>T.V Unit -16MM</t>
  </si>
  <si>
    <t>1735 x 1300 x 450</t>
  </si>
  <si>
    <t>T.V Unit - 16MM</t>
  </si>
  <si>
    <t>710 x 450 x 1280</t>
  </si>
  <si>
    <t>CSI-33</t>
  </si>
  <si>
    <t>Shoe Rock-16MM</t>
  </si>
  <si>
    <t>1000 x 350 x 800</t>
  </si>
  <si>
    <t>CSI-34 A</t>
  </si>
  <si>
    <t>Shoe Rock, Steel Handle-16MM</t>
  </si>
  <si>
    <t>1200 x 800 x 350</t>
  </si>
  <si>
    <t>CSI-34 B</t>
  </si>
  <si>
    <t>Shoe Rock, Prelam Hanld-16MM</t>
  </si>
  <si>
    <t>CSI-34 C</t>
  </si>
  <si>
    <t>740 (W) x 350 (D) x 1050 (H)</t>
  </si>
  <si>
    <t>CSI-34 D</t>
  </si>
  <si>
    <t>600Wx400Dx930H</t>
  </si>
  <si>
    <t>CSI-35 A</t>
  </si>
  <si>
    <t>TV Unit with Glass Shelf-16MM</t>
  </si>
  <si>
    <t>1735 x 450 x 1280</t>
  </si>
  <si>
    <t>CSI-35 B</t>
  </si>
  <si>
    <t>TV Unit with Prelam Shelf- 16MM</t>
  </si>
  <si>
    <t>CSI-36 A</t>
  </si>
  <si>
    <t>Crockery Unit with Glass Shelf- 16MM</t>
  </si>
  <si>
    <t>1800 x 460 x 600</t>
  </si>
  <si>
    <t>CSI-36 B</t>
  </si>
  <si>
    <t>Crockery Unit with Prelam shelf-16MM</t>
  </si>
  <si>
    <t>CSI-37</t>
  </si>
  <si>
    <t>Shoe Stand (Colour : AP-108)</t>
  </si>
  <si>
    <t>H-760xW-600xD-300</t>
  </si>
  <si>
    <t>AP-108</t>
  </si>
  <si>
    <t>CSI-38</t>
  </si>
  <si>
    <t>Corner Stand with Leg(Colour : AP-108)</t>
  </si>
  <si>
    <t>H-750xW-300xD-300</t>
  </si>
  <si>
    <t>CSI-39</t>
  </si>
  <si>
    <t>Center Table (Colour : AP-108)</t>
  </si>
  <si>
    <t>H-590xW-840xD-530</t>
  </si>
  <si>
    <t>CSI-40</t>
  </si>
  <si>
    <t>Center Table (Colour:858+AP-108)</t>
  </si>
  <si>
    <t>900x540x480</t>
  </si>
  <si>
    <t>CSI-41</t>
  </si>
  <si>
    <t>LCD Unit (Colour : 858+AP-108)</t>
  </si>
  <si>
    <t>H-410xW-1500xD-405</t>
  </si>
  <si>
    <t>CSI-42</t>
  </si>
  <si>
    <t>MDF -Dining Fram without Top</t>
  </si>
  <si>
    <t>1200W x 600D x 780H</t>
  </si>
  <si>
    <t>CSI-43</t>
  </si>
  <si>
    <t>LCD Unit</t>
  </si>
  <si>
    <t>2000W x 400D x 1800H</t>
  </si>
  <si>
    <t>4039+PU white</t>
  </si>
  <si>
    <t>CSI-44</t>
  </si>
  <si>
    <t>2000W x 400D x 2100H</t>
  </si>
  <si>
    <t>Balenes Pine + F.white</t>
  </si>
  <si>
    <t>CSI-45</t>
  </si>
  <si>
    <t>LCD Unit (Colour: 992+Black)</t>
  </si>
  <si>
    <t>1650W x 300D x 1800H</t>
  </si>
  <si>
    <t>992+Black</t>
  </si>
  <si>
    <t>CSI-46</t>
  </si>
  <si>
    <t>Baby Bed With Storage
(color: 858+ PU White)</t>
  </si>
  <si>
    <t>1400 x 700 x 1050</t>
  </si>
  <si>
    <t xml:space="preserve"> 858+ PU White</t>
  </si>
  <si>
    <t>CSI-47-A</t>
  </si>
  <si>
    <t>wenge + Top- PU white</t>
  </si>
  <si>
    <t>CSI-47-B</t>
  </si>
  <si>
    <t>CSI-47-C</t>
  </si>
  <si>
    <t>CSI-47-D</t>
  </si>
  <si>
    <t>280 W x 305 D  x 440 H</t>
  </si>
  <si>
    <t>CSI-48</t>
  </si>
  <si>
    <t>1200w x 600D x 1700H</t>
  </si>
  <si>
    <t>CSI-49</t>
  </si>
  <si>
    <t>1800 (L) x 400 (D) x 460 (H)</t>
  </si>
  <si>
    <t>D.Wallnut + Frosty White</t>
  </si>
  <si>
    <t>CSI-50</t>
  </si>
  <si>
    <t>1800 (L) x 400 (D) x 1657 (H)</t>
  </si>
  <si>
    <t>CSI-51</t>
  </si>
  <si>
    <t>Shoe Rack</t>
  </si>
  <si>
    <t>700 (W) x 370 (D) x 920 (H)</t>
  </si>
  <si>
    <t>CSI-52</t>
  </si>
  <si>
    <t>800 (W) x 450 (D) x 1800 (H)</t>
  </si>
  <si>
    <t>2257+2258</t>
  </si>
  <si>
    <t>CSI-53-18MM</t>
  </si>
  <si>
    <t>Shoe Rock-18MM</t>
  </si>
  <si>
    <t>Wenge-G Handle</t>
  </si>
  <si>
    <t>CSI-54</t>
  </si>
  <si>
    <t xml:space="preserve">Seating Type Shoe Rack </t>
  </si>
  <si>
    <t>1200Wx390Dx450H</t>
  </si>
  <si>
    <t>Knotty Wood (992)</t>
  </si>
  <si>
    <t>CSI-55</t>
  </si>
  <si>
    <t xml:space="preserve">Shoe Rack  </t>
  </si>
  <si>
    <t>1000Wx400Dx520H</t>
  </si>
  <si>
    <t xml:space="preserve">Vargin Oak + Dark Wallnut </t>
  </si>
  <si>
    <t>CSI-56</t>
  </si>
  <si>
    <t>800Wx400Dx520H</t>
  </si>
  <si>
    <t>1200x400x600</t>
  </si>
  <si>
    <t>800x400x600</t>
  </si>
  <si>
    <t>CSI-58</t>
  </si>
  <si>
    <t>EPIC Office Table</t>
  </si>
  <si>
    <t>1800 x 900 x 750</t>
  </si>
  <si>
    <t>CSI-59</t>
  </si>
  <si>
    <t>1200wx600Dx750H</t>
  </si>
  <si>
    <t>CSI-60</t>
  </si>
  <si>
    <t>Study Table With Shelf</t>
  </si>
  <si>
    <t>1200Wx400DX1200H</t>
  </si>
  <si>
    <t>CSI-61 A</t>
  </si>
  <si>
    <t>CSI-61 B</t>
  </si>
  <si>
    <t>900wx450Dx470H</t>
  </si>
  <si>
    <t>CSI-62</t>
  </si>
  <si>
    <t>Study Cum Computer Table</t>
  </si>
  <si>
    <t>1200Wx600DX750H</t>
  </si>
  <si>
    <t>CSI-63-A</t>
  </si>
  <si>
    <t>CSI-63-B</t>
  </si>
  <si>
    <t>Burma Teak</t>
  </si>
  <si>
    <t>CSI-63-C</t>
  </si>
  <si>
    <t>CSI-64-1800</t>
  </si>
  <si>
    <t>1800wx900Dx750H</t>
  </si>
  <si>
    <t>CSI-64-1500</t>
  </si>
  <si>
    <t>1500x750x750</t>
  </si>
  <si>
    <t>CSI-65</t>
  </si>
  <si>
    <t>OfficeTable</t>
  </si>
  <si>
    <t>Center Table (15mm prealm)</t>
  </si>
  <si>
    <t>CSI-67</t>
  </si>
  <si>
    <t>1200Wx400DX500H</t>
  </si>
  <si>
    <t>CSI-69</t>
  </si>
  <si>
    <t>1820Wx450DX1845H</t>
  </si>
  <si>
    <t>Wenge or 2257</t>
  </si>
  <si>
    <t>CSI-71</t>
  </si>
  <si>
    <t>600wx380Dx1485H</t>
  </si>
  <si>
    <t>Corner Unit (15mm prealm)</t>
  </si>
  <si>
    <t>CSI-78</t>
  </si>
  <si>
    <t>1000x520x760</t>
  </si>
  <si>
    <t>992+White Polish</t>
  </si>
  <si>
    <t>CSI-79</t>
  </si>
  <si>
    <t>900Wx500Dx750H</t>
  </si>
  <si>
    <t>CSI-80</t>
  </si>
  <si>
    <t>1200 W x 400 D x 1750 H</t>
  </si>
  <si>
    <t>CSI-81</t>
  </si>
  <si>
    <t>Shoe Rack with Shutter-18mm</t>
  </si>
  <si>
    <t>1200(W)x350(D)x1050(H)</t>
  </si>
  <si>
    <t>CSI-82</t>
  </si>
  <si>
    <t>800(W)x350(D)x1050(H)</t>
  </si>
  <si>
    <t>600x330x812</t>
  </si>
  <si>
    <t>600x350x1650</t>
  </si>
  <si>
    <t>CSI-85</t>
  </si>
  <si>
    <t>Bar Cabinet</t>
  </si>
  <si>
    <t>750Wx350Dx1800H</t>
  </si>
  <si>
    <t>D.Walnut Glossy</t>
  </si>
  <si>
    <t>CSI-86</t>
  </si>
  <si>
    <t>1840x400x400</t>
  </si>
  <si>
    <t>Wallnut + F.white</t>
  </si>
  <si>
    <t>CSI-87</t>
  </si>
  <si>
    <t>TV Unit-6</t>
  </si>
  <si>
    <t>1350(W)x350(D)x1600(H)</t>
  </si>
  <si>
    <t>4039+F.White</t>
  </si>
  <si>
    <t>CSI-88</t>
  </si>
  <si>
    <t>TV Unit-7</t>
  </si>
  <si>
    <t>1200(W)x350(D)x1600(H)</t>
  </si>
  <si>
    <t>DARK ACASIA</t>
  </si>
  <si>
    <t>CSI-89</t>
  </si>
  <si>
    <t>TV UNIT-13</t>
  </si>
  <si>
    <t>1800x350x1600</t>
  </si>
  <si>
    <t>WHITE PAINT + CLOUD ASH + DARK ELM</t>
  </si>
  <si>
    <t>CSI-90</t>
  </si>
  <si>
    <t>TV UNIT-14</t>
  </si>
  <si>
    <t>1800(W)x350(D)x400(H)</t>
  </si>
  <si>
    <t>KNOTT WOOD + WHITE</t>
  </si>
  <si>
    <t>CSI-91</t>
  </si>
  <si>
    <t>600(W)x400(D)x1800(H)</t>
  </si>
  <si>
    <t>Dark Ebony + White</t>
  </si>
  <si>
    <t>1040X450X1950</t>
  </si>
  <si>
    <t>CSI-93</t>
  </si>
  <si>
    <t>TV Unit-4</t>
  </si>
  <si>
    <t>1820(W)x336(D)x1600(H)</t>
  </si>
  <si>
    <t xml:space="preserve"> HIGHLAND PINE+  PA 108 + WHITE</t>
  </si>
  <si>
    <t>CSI-94</t>
  </si>
  <si>
    <t>Study table cum book shelf</t>
  </si>
  <si>
    <t>1500 H X 1200 W X 450</t>
  </si>
  <si>
    <t>C.WALLNUT</t>
  </si>
  <si>
    <t>CSI-95</t>
  </si>
  <si>
    <t>Foldabale study table</t>
  </si>
  <si>
    <t>800 H X 900 W X 450</t>
  </si>
  <si>
    <t>CSI-96</t>
  </si>
  <si>
    <t>Study table</t>
  </si>
  <si>
    <t>1050 H X 900 W X 450</t>
  </si>
  <si>
    <t>CSI-97</t>
  </si>
  <si>
    <t>Cupboard</t>
  </si>
  <si>
    <t>1485x600wx380</t>
  </si>
  <si>
    <t>2257 + Pink</t>
  </si>
</sst>
</file>

<file path=xl/styles.xml><?xml version="1.0" encoding="utf-8"?>
<styleSheet xmlns="http://schemas.openxmlformats.org/spreadsheetml/2006/main">
  <numFmts count="5">
    <numFmt numFmtId="176" formatCode="_-* #,##0_-;\-* #,##0_-;_-* &quot;-&quot;_-;_-@_-"/>
    <numFmt numFmtId="177" formatCode="_-* #,##0.00_-;\-* #,##0.00_-;_-* &quot;-&quot;??_-;_-@_-"/>
    <numFmt numFmtId="178" formatCode="_-&quot;£&quot;* #,##0.00_-;\-&quot;£&quot;* #,##0.00_-;_-&quot;£&quot;* &quot;-&quot;??_-;_-@_-"/>
    <numFmt numFmtId="179" formatCode="_-&quot;£&quot;* #,##0_-;\-&quot;£&quot;* #,##0_-;_-&quot;£&quot;* &quot;-&quot;_-;_-@_-"/>
    <numFmt numFmtId="180" formatCode="0_ "/>
  </numFmts>
  <fonts count="86">
    <font>
      <sz val="10"/>
      <name val="Arial"/>
      <charset val="134"/>
    </font>
    <font>
      <b/>
      <sz val="10"/>
      <name val="Cambria"/>
      <charset val="0"/>
      <scheme val="major"/>
    </font>
    <font>
      <sz val="10"/>
      <name val="Cambria"/>
      <charset val="0"/>
      <scheme val="major"/>
    </font>
    <font>
      <sz val="10"/>
      <name val="Arial"/>
      <charset val="0"/>
    </font>
    <font>
      <sz val="10"/>
      <name val="Cambria"/>
      <charset val="0"/>
    </font>
    <font>
      <sz val="11"/>
      <name val="Cambria"/>
      <charset val="0"/>
    </font>
    <font>
      <sz val="12"/>
      <name val="Cambria"/>
      <charset val="0"/>
    </font>
    <font>
      <sz val="11"/>
      <color theme="1"/>
      <name val="Cambria"/>
      <charset val="0"/>
    </font>
    <font>
      <sz val="11"/>
      <name val="Calibri"/>
      <charset val="0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24"/>
      <name val="Cambria"/>
      <charset val="0"/>
    </font>
    <font>
      <sz val="11"/>
      <color theme="1"/>
      <name val="Calibri"/>
      <charset val="0"/>
      <scheme val="minor"/>
    </font>
    <font>
      <sz val="12"/>
      <color theme="1"/>
      <name val="Calibri"/>
      <charset val="0"/>
      <scheme val="minor"/>
    </font>
    <font>
      <sz val="12"/>
      <color theme="1"/>
      <name val="Cambria"/>
      <charset val="0"/>
    </font>
    <font>
      <sz val="12"/>
      <name val="Cambria"/>
      <charset val="0"/>
      <scheme val="major"/>
    </font>
    <font>
      <sz val="11"/>
      <name val="Cambria"/>
      <charset val="0"/>
      <scheme val="major"/>
    </font>
    <font>
      <b/>
      <sz val="12"/>
      <name val="Cambria"/>
      <charset val="0"/>
    </font>
    <font>
      <b/>
      <sz val="11"/>
      <color indexed="8"/>
      <name val="Cambria"/>
      <charset val="0"/>
    </font>
    <font>
      <b/>
      <sz val="10"/>
      <name val="Cambria"/>
      <charset val="0"/>
    </font>
    <font>
      <sz val="10"/>
      <color theme="1"/>
      <name val="Cambria"/>
      <charset val="0"/>
    </font>
    <font>
      <sz val="11"/>
      <color theme="1"/>
      <name val="Cambria"/>
      <charset val="134"/>
    </font>
    <font>
      <sz val="10"/>
      <color theme="1"/>
      <name val="Cambria"/>
      <charset val="134"/>
    </font>
    <font>
      <sz val="11"/>
      <name val="Cambria"/>
      <charset val="134"/>
    </font>
    <font>
      <sz val="12"/>
      <color rgb="FF333333"/>
      <name val="Cambria"/>
      <charset val="134"/>
    </font>
    <font>
      <sz val="10"/>
      <color indexed="8"/>
      <name val="Cambria"/>
      <charset val="0"/>
    </font>
    <font>
      <sz val="12"/>
      <color indexed="8"/>
      <name val="Cambria"/>
      <charset val="0"/>
    </font>
    <font>
      <sz val="10"/>
      <name val="Calibri"/>
      <charset val="0"/>
    </font>
    <font>
      <sz val="12"/>
      <name val="Calibri"/>
      <charset val="0"/>
    </font>
    <font>
      <b/>
      <sz val="10"/>
      <name val="Calibri"/>
      <charset val="0"/>
    </font>
    <font>
      <sz val="11"/>
      <color theme="1"/>
      <name val="Calibri"/>
      <charset val="0"/>
    </font>
    <font>
      <sz val="11"/>
      <color indexed="8"/>
      <name val="Cambria"/>
      <charset val="0"/>
    </font>
    <font>
      <sz val="12"/>
      <color rgb="FF000000"/>
      <name val="Cambria"/>
      <charset val="0"/>
    </font>
    <font>
      <sz val="9"/>
      <name val="Cambria"/>
      <charset val="0"/>
    </font>
    <font>
      <sz val="12"/>
      <color theme="1"/>
      <name val="Cambria"/>
      <charset val="0"/>
      <scheme val="major"/>
    </font>
    <font>
      <sz val="10.5"/>
      <color rgb="FF333333"/>
      <name val="Helvetica"/>
      <charset val="134"/>
    </font>
    <font>
      <sz val="9"/>
      <color rgb="FF333333"/>
      <name val="Helvetica"/>
      <charset val="134"/>
    </font>
    <font>
      <sz val="12"/>
      <color rgb="FF000000"/>
      <name val="Segoe UI"/>
      <charset val="0"/>
    </font>
    <font>
      <sz val="12"/>
      <name val="Arial"/>
      <charset val="134"/>
    </font>
    <font>
      <b/>
      <sz val="12"/>
      <color theme="9" tint="-0.5"/>
      <name val="Arial"/>
      <charset val="134"/>
    </font>
    <font>
      <b/>
      <sz val="10"/>
      <color theme="9" tint="-0.5"/>
      <name val="Arial"/>
      <charset val="134"/>
    </font>
    <font>
      <sz val="10"/>
      <name val="Cambria"/>
      <charset val="134"/>
    </font>
    <font>
      <sz val="24"/>
      <color theme="1"/>
      <name val="Cambria"/>
      <charset val="0"/>
    </font>
    <font>
      <b/>
      <sz val="10"/>
      <color theme="1"/>
      <name val="Cambria"/>
      <charset val="0"/>
    </font>
    <font>
      <sz val="12"/>
      <color theme="1"/>
      <name val="Cambria"/>
      <charset val="134"/>
    </font>
    <font>
      <sz val="10"/>
      <color theme="1"/>
      <name val="Calibri"/>
      <charset val="0"/>
      <scheme val="minor"/>
    </font>
    <font>
      <sz val="10"/>
      <color rgb="FF000000"/>
      <name val="Calibri"/>
      <charset val="0"/>
    </font>
    <font>
      <sz val="10"/>
      <color rgb="FF333333"/>
      <name val="Cambria"/>
      <charset val="134"/>
    </font>
    <font>
      <sz val="10.5"/>
      <name val="Cambria"/>
      <charset val="134"/>
    </font>
    <font>
      <sz val="12"/>
      <color theme="1"/>
      <name val="Cambria"/>
      <charset val="0"/>
    </font>
    <font>
      <sz val="10"/>
      <color rgb="FF000000"/>
      <name val="Cambria"/>
      <charset val="0"/>
    </font>
    <font>
      <sz val="10"/>
      <color rgb="FF000000"/>
      <name val="Segoe UI"/>
      <charset val="0"/>
    </font>
    <font>
      <sz val="10.5"/>
      <color rgb="FF333333"/>
      <name val="Cambria"/>
      <charset val="134"/>
    </font>
    <font>
      <sz val="10"/>
      <name val="Cambria"/>
      <charset val="0"/>
    </font>
    <font>
      <sz val="12"/>
      <name val="Cambria"/>
      <charset val="0"/>
    </font>
    <font>
      <sz val="12"/>
      <color indexed="8"/>
      <name val="Cambria"/>
      <charset val="0"/>
    </font>
    <font>
      <sz val="10.5"/>
      <color theme="1"/>
      <name val="Helvetica"/>
      <charset val="134"/>
    </font>
    <font>
      <sz val="10"/>
      <color indexed="8"/>
      <name val="Cambria"/>
      <charset val="0"/>
    </font>
    <font>
      <sz val="11"/>
      <color theme="1"/>
      <name val="Cambria"/>
      <charset val="0"/>
    </font>
    <font>
      <sz val="10"/>
      <color theme="1"/>
      <name val="Cambria"/>
      <charset val="0"/>
    </font>
    <font>
      <sz val="11"/>
      <name val="Cambria"/>
      <charset val="0"/>
    </font>
    <font>
      <sz val="10.5"/>
      <color indexed="8"/>
      <name val="Cambria"/>
      <charset val="0"/>
    </font>
    <font>
      <b/>
      <sz val="12"/>
      <color indexed="8"/>
      <name val="Cambria"/>
      <charset val="0"/>
    </font>
    <font>
      <sz val="9"/>
      <color indexed="8"/>
      <name val="Cambria"/>
      <charset val="0"/>
    </font>
    <font>
      <sz val="11"/>
      <color rgb="FF000000"/>
      <name val="Cambria"/>
      <charset val="0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indexed="8"/>
      <name val="Calibri"/>
      <charset val="0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2"/>
      <color rgb="FF800000"/>
      <name val="Cambria"/>
      <charset val="0"/>
    </font>
    <font>
      <sz val="12"/>
      <name val="Arial"/>
      <charset val="0"/>
    </font>
  </fonts>
  <fills count="36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7">
    <xf numFmtId="0" fontId="0" fillId="0" borderId="0"/>
    <xf numFmtId="0" fontId="12" fillId="16" borderId="0" applyNumberFormat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2" fillId="0" borderId="0"/>
    <xf numFmtId="0" fontId="71" fillId="11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7" fillId="20" borderId="26" applyNumberFormat="0" applyAlignment="0" applyProtection="0">
      <alignment vertical="center"/>
    </xf>
    <xf numFmtId="0" fontId="69" fillId="0" borderId="21" applyNumberFormat="0" applyFill="0" applyAlignment="0" applyProtection="0">
      <alignment vertical="center"/>
    </xf>
    <xf numFmtId="0" fontId="9" fillId="10" borderId="22" applyNumberFormat="0" applyFon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0" fillId="0" borderId="21" applyNumberFormat="0" applyFill="0" applyAlignment="0" applyProtection="0">
      <alignment vertical="center"/>
    </xf>
    <xf numFmtId="0" fontId="79" fillId="0" borderId="27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65" fillId="7" borderId="20" applyNumberFormat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73" fillId="14" borderId="24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76" fillId="14" borderId="20" applyNumberFormat="0" applyAlignment="0" applyProtection="0">
      <alignment vertical="center"/>
    </xf>
    <xf numFmtId="0" fontId="72" fillId="0" borderId="23" applyNumberFormat="0" applyFill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2" fillId="29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0" fillId="0" borderId="0"/>
    <xf numFmtId="0" fontId="12" fillId="6" borderId="0" applyNumberFormat="0" applyBorder="0" applyAlignment="0" applyProtection="0">
      <alignment vertical="center"/>
    </xf>
    <xf numFmtId="0" fontId="71" fillId="13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83" fillId="0" borderId="0"/>
    <xf numFmtId="0" fontId="12" fillId="32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71" fillId="18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1" fillId="1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0" borderId="0"/>
    <xf numFmtId="0" fontId="71" fillId="24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0" borderId="0"/>
    <xf numFmtId="0" fontId="71" fillId="34" borderId="0" applyNumberFormat="0" applyBorder="0" applyAlignment="0" applyProtection="0">
      <alignment vertical="center"/>
    </xf>
    <xf numFmtId="0" fontId="78" fillId="0" borderId="0">
      <alignment vertical="center"/>
    </xf>
    <xf numFmtId="0" fontId="3" fillId="0" borderId="0"/>
  </cellStyleXfs>
  <cellXfs count="408">
    <xf numFmtId="0" fontId="0" fillId="0" borderId="0" xfId="0"/>
    <xf numFmtId="0" fontId="1" fillId="0" borderId="0" xfId="34" applyFont="1" applyFill="1" applyBorder="1" applyAlignment="1"/>
    <xf numFmtId="0" fontId="2" fillId="0" borderId="0" xfId="34" applyFont="1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2" fillId="0" borderId="0" xfId="34" applyFont="1" applyFill="1" applyBorder="1" applyAlignment="1">
      <alignment horizontal="center" vertical="center" wrapText="1"/>
    </xf>
    <xf numFmtId="0" fontId="1" fillId="0" borderId="0" xfId="34" applyFont="1" applyFill="1" applyBorder="1" applyAlignment="1">
      <alignment horizontal="center" vertical="center" wrapText="1"/>
    </xf>
    <xf numFmtId="0" fontId="1" fillId="0" borderId="0" xfId="34" applyFont="1" applyFill="1" applyBorder="1" applyAlignment="1">
      <alignment horizontal="right"/>
    </xf>
    <xf numFmtId="0" fontId="1" fillId="0" borderId="1" xfId="34" applyFont="1" applyFill="1" applyBorder="1" applyAlignment="1">
      <alignment horizontal="center" vertical="center" wrapText="1"/>
    </xf>
    <xf numFmtId="0" fontId="2" fillId="0" borderId="1" xfId="34" applyFont="1" applyFill="1" applyBorder="1" applyAlignment="1">
      <alignment horizontal="center" vertical="center" wrapText="1"/>
    </xf>
    <xf numFmtId="1" fontId="2" fillId="0" borderId="1" xfId="34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2" fillId="0" borderId="1" xfId="56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/>
    </xf>
    <xf numFmtId="180" fontId="2" fillId="0" borderId="1" xfId="0" applyNumberFormat="1" applyFont="1" applyFill="1" applyBorder="1" applyAlignment="1">
      <alignment horizontal="center" vertical="center" wrapText="1"/>
    </xf>
    <xf numFmtId="180" fontId="2" fillId="0" borderId="1" xfId="34" applyNumberFormat="1" applyFont="1" applyFill="1" applyBorder="1" applyAlignment="1">
      <alignment horizontal="center" vertical="center" wrapText="1"/>
    </xf>
    <xf numFmtId="180" fontId="1" fillId="0" borderId="1" xfId="34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80" fontId="6" fillId="0" borderId="1" xfId="0" applyNumberFormat="1" applyFont="1" applyFill="1" applyBorder="1" applyAlignment="1">
      <alignment horizontal="center" vertical="center" wrapText="1"/>
    </xf>
    <xf numFmtId="180" fontId="6" fillId="0" borderId="2" xfId="0" applyNumberFormat="1" applyFont="1" applyFill="1" applyBorder="1" applyAlignment="1">
      <alignment horizontal="center" vertical="center" wrapText="1"/>
    </xf>
    <xf numFmtId="180" fontId="5" fillId="0" borderId="1" xfId="34" applyNumberFormat="1" applyFont="1" applyFill="1" applyBorder="1" applyAlignment="1">
      <alignment horizontal="center" vertical="center" wrapText="1"/>
    </xf>
    <xf numFmtId="180" fontId="5" fillId="0" borderId="1" xfId="0" applyNumberFormat="1" applyFont="1" applyFill="1" applyBorder="1" applyAlignment="1">
      <alignment horizontal="center" vertical="center"/>
    </xf>
    <xf numFmtId="180" fontId="7" fillId="0" borderId="1" xfId="0" applyNumberFormat="1" applyFont="1" applyFill="1" applyBorder="1" applyAlignment="1">
      <alignment horizontal="center" vertical="center"/>
    </xf>
    <xf numFmtId="0" fontId="4" fillId="0" borderId="1" xfId="34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/>
    <xf numFmtId="0" fontId="9" fillId="0" borderId="0" xfId="0" applyFont="1" applyFill="1" applyAlignment="1">
      <alignment vertical="center"/>
    </xf>
    <xf numFmtId="0" fontId="10" fillId="0" borderId="0" xfId="0" applyNumberFormat="1" applyFont="1" applyFill="1" applyBorder="1" applyAlignment="1">
      <alignment horizontal="left"/>
    </xf>
    <xf numFmtId="0" fontId="9" fillId="0" borderId="0" xfId="0" applyFont="1" applyFill="1" applyAlignment="1">
      <alignment horizontal="right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right"/>
    </xf>
    <xf numFmtId="0" fontId="12" fillId="3" borderId="1" xfId="0" applyFont="1" applyFill="1" applyBorder="1" applyAlignment="1">
      <alignment horizontal="left" vertical="center"/>
    </xf>
    <xf numFmtId="0" fontId="12" fillId="3" borderId="1" xfId="7" applyFont="1" applyFill="1" applyBorder="1" applyAlignment="1" applyProtection="1">
      <alignment horizontal="left" vertical="center"/>
    </xf>
    <xf numFmtId="0" fontId="12" fillId="3" borderId="1" xfId="7" applyFont="1" applyFill="1" applyBorder="1" applyAlignment="1" applyProtection="1">
      <alignment horizontal="right"/>
    </xf>
    <xf numFmtId="49" fontId="10" fillId="0" borderId="1" xfId="0" applyNumberFormat="1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1" fontId="6" fillId="0" borderId="3" xfId="34" applyNumberFormat="1" applyFont="1" applyFill="1" applyBorder="1" applyAlignment="1">
      <alignment horizontal="left" vertical="center"/>
    </xf>
    <xf numFmtId="180" fontId="6" fillId="0" borderId="1" xfId="0" applyNumberFormat="1" applyFont="1" applyFill="1" applyBorder="1" applyAlignment="1">
      <alignment horizontal="right" vertical="center"/>
    </xf>
    <xf numFmtId="0" fontId="1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" fontId="6" fillId="0" borderId="3" xfId="34" applyNumberFormat="1" applyFont="1" applyFill="1" applyBorder="1" applyAlignment="1">
      <alignment horizontal="left" vertical="center"/>
    </xf>
    <xf numFmtId="180" fontId="6" fillId="0" borderId="1" xfId="0" applyNumberFormat="1" applyFont="1" applyFill="1" applyBorder="1" applyAlignment="1">
      <alignment horizontal="right" vertical="center"/>
    </xf>
    <xf numFmtId="0" fontId="14" fillId="0" borderId="1" xfId="34" applyFont="1" applyFill="1" applyBorder="1" applyAlignment="1">
      <alignment horizontal="center" vertical="center"/>
    </xf>
    <xf numFmtId="0" fontId="6" fillId="0" borderId="1" xfId="34" applyFont="1" applyFill="1" applyBorder="1" applyAlignment="1">
      <alignment horizontal="center" vertical="center" wrapText="1"/>
    </xf>
    <xf numFmtId="0" fontId="15" fillId="0" borderId="1" xfId="34" applyFont="1" applyFill="1" applyBorder="1" applyAlignment="1">
      <alignment horizontal="center" vertical="center" wrapText="1"/>
    </xf>
    <xf numFmtId="0" fontId="6" fillId="0" borderId="1" xfId="34" applyFont="1" applyFill="1" applyBorder="1" applyAlignment="1">
      <alignment horizontal="left" vertical="center"/>
    </xf>
    <xf numFmtId="0" fontId="14" fillId="0" borderId="1" xfId="34" applyFont="1" applyFill="1" applyBorder="1" applyAlignment="1">
      <alignment horizontal="left" vertical="center"/>
    </xf>
    <xf numFmtId="0" fontId="6" fillId="0" borderId="1" xfId="34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180" fontId="6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34" applyFont="1" applyFill="1" applyBorder="1" applyAlignment="1">
      <alignment horizontal="left" vertical="center"/>
    </xf>
    <xf numFmtId="0" fontId="14" fillId="0" borderId="1" xfId="34" applyFont="1" applyFill="1" applyBorder="1" applyAlignment="1">
      <alignment horizontal="left" vertical="center"/>
    </xf>
    <xf numFmtId="0" fontId="6" fillId="0" borderId="1" xfId="34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180" fontId="6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/>
    </xf>
    <xf numFmtId="49" fontId="7" fillId="0" borderId="1" xfId="0" applyNumberFormat="1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/>
    </xf>
    <xf numFmtId="0" fontId="16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center" vertical="center"/>
    </xf>
    <xf numFmtId="0" fontId="17" fillId="0" borderId="10" xfId="7" applyFont="1" applyFill="1" applyBorder="1" applyAlignment="1" applyProtection="1">
      <alignment horizontal="center" vertical="center"/>
    </xf>
    <xf numFmtId="0" fontId="5" fillId="0" borderId="9" xfId="7" applyFont="1" applyFill="1" applyBorder="1" applyAlignment="1" applyProtection="1">
      <alignment horizontal="left" vertical="center"/>
    </xf>
    <xf numFmtId="0" fontId="17" fillId="0" borderId="11" xfId="7" applyFont="1" applyFill="1" applyBorder="1" applyAlignment="1" applyProtection="1">
      <alignment horizontal="center" vertical="center"/>
    </xf>
    <xf numFmtId="0" fontId="17" fillId="0" borderId="11" xfId="7" applyFont="1" applyFill="1" applyBorder="1" applyAlignment="1" applyProtection="1">
      <alignment horizontal="left" vertical="center"/>
    </xf>
    <xf numFmtId="49" fontId="18" fillId="4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49" fontId="18" fillId="4" borderId="1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left" vertical="center" wrapText="1"/>
    </xf>
    <xf numFmtId="0" fontId="6" fillId="0" borderId="1" xfId="34" applyFont="1" applyFill="1" applyBorder="1" applyAlignment="1">
      <alignment horizontal="center" vertical="center"/>
    </xf>
    <xf numFmtId="0" fontId="6" fillId="0" borderId="1" xfId="34" applyFont="1" applyFill="1" applyBorder="1" applyAlignment="1">
      <alignment vertical="center" wrapText="1"/>
    </xf>
    <xf numFmtId="0" fontId="3" fillId="0" borderId="1" xfId="0" applyFont="1" applyFill="1" applyBorder="1" applyAlignment="1"/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/>
    <xf numFmtId="0" fontId="14" fillId="0" borderId="1" xfId="34" applyFont="1" applyFill="1" applyBorder="1" applyAlignment="1">
      <alignment horizontal="left" vertical="center" wrapText="1"/>
    </xf>
    <xf numFmtId="0" fontId="20" fillId="0" borderId="1" xfId="34" applyFont="1" applyFill="1" applyBorder="1" applyAlignment="1">
      <alignment horizontal="left" vertical="center"/>
    </xf>
    <xf numFmtId="180" fontId="6" fillId="0" borderId="1" xfId="34" applyNumberFormat="1" applyFont="1" applyFill="1" applyBorder="1" applyAlignment="1">
      <alignment horizontal="right" vertical="center"/>
    </xf>
    <xf numFmtId="0" fontId="20" fillId="0" borderId="1" xfId="56" applyFont="1" applyFill="1" applyBorder="1" applyAlignment="1">
      <alignment horizontal="left" vertical="center"/>
    </xf>
    <xf numFmtId="0" fontId="21" fillId="0" borderId="1" xfId="0" applyFont="1" applyFill="1" applyBorder="1" applyAlignment="1">
      <alignment vertical="center"/>
    </xf>
    <xf numFmtId="0" fontId="22" fillId="0" borderId="1" xfId="0" applyFont="1" applyFill="1" applyBorder="1" applyAlignment="1">
      <alignment horizontal="left" vertical="center"/>
    </xf>
    <xf numFmtId="0" fontId="21" fillId="0" borderId="1" xfId="0" applyFont="1" applyFill="1" applyBorder="1" applyAlignment="1">
      <alignment horizontal="left" vertical="center"/>
    </xf>
    <xf numFmtId="180" fontId="21" fillId="0" borderId="1" xfId="0" applyNumberFormat="1" applyFont="1" applyFill="1" applyBorder="1" applyAlignment="1">
      <alignment horizontal="right" vertical="center"/>
    </xf>
    <xf numFmtId="0" fontId="22" fillId="0" borderId="1" xfId="0" applyFont="1" applyFill="1" applyBorder="1" applyAlignment="1">
      <alignment vertical="center"/>
    </xf>
    <xf numFmtId="0" fontId="22" fillId="0" borderId="1" xfId="0" applyFont="1" applyFill="1" applyBorder="1" applyAlignment="1">
      <alignment vertical="center" wrapText="1"/>
    </xf>
    <xf numFmtId="180" fontId="23" fillId="0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vertical="center"/>
    </xf>
    <xf numFmtId="0" fontId="20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180" fontId="6" fillId="5" borderId="1" xfId="0" applyNumberFormat="1" applyFont="1" applyFill="1" applyBorder="1" applyAlignment="1">
      <alignment horizontal="right" vertical="center"/>
    </xf>
    <xf numFmtId="0" fontId="24" fillId="5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left" vertical="center"/>
    </xf>
    <xf numFmtId="180" fontId="14" fillId="0" borderId="1" xfId="56" applyNumberFormat="1" applyFont="1" applyFill="1" applyBorder="1" applyAlignment="1">
      <alignment horizontal="right" vertical="center"/>
    </xf>
    <xf numFmtId="180" fontId="21" fillId="3" borderId="1" xfId="0" applyNumberFormat="1" applyFont="1" applyFill="1" applyBorder="1" applyAlignment="1">
      <alignment horizontal="right" vertical="center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wrapText="1"/>
    </xf>
    <xf numFmtId="0" fontId="6" fillId="0" borderId="0" xfId="0" applyFont="1" applyFill="1" applyBorder="1" applyAlignment="1"/>
    <xf numFmtId="0" fontId="5" fillId="0" borderId="3" xfId="0" applyFont="1" applyFill="1" applyBorder="1" applyAlignment="1">
      <alignment horizontal="center" vertical="center"/>
    </xf>
    <xf numFmtId="0" fontId="17" fillId="0" borderId="5" xfId="7" applyFont="1" applyFill="1" applyBorder="1" applyAlignment="1" applyProtection="1">
      <alignment horizontal="center" vertical="center"/>
    </xf>
    <xf numFmtId="0" fontId="5" fillId="0" borderId="3" xfId="7" applyFont="1" applyFill="1" applyBorder="1" applyAlignment="1" applyProtection="1">
      <alignment horizontal="left" vertical="center"/>
    </xf>
    <xf numFmtId="0" fontId="17" fillId="0" borderId="7" xfId="7" applyFont="1" applyFill="1" applyBorder="1" applyAlignment="1" applyProtection="1">
      <alignment horizontal="center" vertical="center"/>
    </xf>
    <xf numFmtId="0" fontId="17" fillId="6" borderId="11" xfId="7" applyFont="1" applyFill="1" applyBorder="1" applyAlignment="1" applyProtection="1">
      <alignment horizontal="center" vertical="center"/>
    </xf>
    <xf numFmtId="0" fontId="19" fillId="3" borderId="0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0" fontId="6" fillId="0" borderId="3" xfId="34" applyFont="1" applyFill="1" applyBorder="1" applyAlignment="1">
      <alignment horizontal="center" vertical="center"/>
    </xf>
    <xf numFmtId="0" fontId="6" fillId="0" borderId="12" xfId="34" applyFont="1" applyFill="1" applyBorder="1" applyAlignment="1">
      <alignment vertical="center"/>
    </xf>
    <xf numFmtId="0" fontId="6" fillId="0" borderId="13" xfId="34" applyFont="1" applyFill="1" applyBorder="1" applyAlignment="1">
      <alignment vertical="center" wrapText="1"/>
    </xf>
    <xf numFmtId="0" fontId="6" fillId="0" borderId="3" xfId="34" applyFont="1" applyFill="1" applyBorder="1" applyAlignment="1">
      <alignment horizontal="left" vertical="center"/>
    </xf>
    <xf numFmtId="0" fontId="14" fillId="0" borderId="3" xfId="34" applyFont="1" applyFill="1" applyBorder="1" applyAlignment="1">
      <alignment horizontal="left" vertical="center"/>
    </xf>
    <xf numFmtId="0" fontId="6" fillId="0" borderId="2" xfId="34" applyFont="1" applyFill="1" applyBorder="1" applyAlignment="1">
      <alignment vertical="center"/>
    </xf>
    <xf numFmtId="0" fontId="6" fillId="0" borderId="14" xfId="34" applyFont="1" applyFill="1" applyBorder="1" applyAlignment="1">
      <alignment vertical="center" wrapText="1"/>
    </xf>
    <xf numFmtId="1" fontId="6" fillId="0" borderId="1" xfId="34" applyNumberFormat="1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14" xfId="0" applyFont="1" applyFill="1" applyBorder="1" applyAlignment="1">
      <alignment horizontal="left" vertical="center" wrapText="1"/>
    </xf>
    <xf numFmtId="1" fontId="6" fillId="0" borderId="1" xfId="0" applyNumberFormat="1" applyFont="1" applyFill="1" applyBorder="1" applyAlignment="1">
      <alignment horizontal="left" vertical="center"/>
    </xf>
    <xf numFmtId="0" fontId="14" fillId="0" borderId="2" xfId="34" applyFont="1" applyFill="1" applyBorder="1" applyAlignment="1">
      <alignment horizontal="left" vertical="center"/>
    </xf>
    <xf numFmtId="0" fontId="26" fillId="0" borderId="1" xfId="0" applyFont="1" applyFill="1" applyBorder="1" applyAlignment="1">
      <alignment horizontal="left" vertical="center" wrapText="1"/>
    </xf>
    <xf numFmtId="1" fontId="14" fillId="0" borderId="1" xfId="56" applyNumberFormat="1" applyFont="1" applyFill="1" applyBorder="1" applyAlignment="1">
      <alignment horizontal="left" vertical="center"/>
    </xf>
    <xf numFmtId="0" fontId="14" fillId="5" borderId="2" xfId="34" applyFont="1" applyFill="1" applyBorder="1" applyAlignment="1">
      <alignment horizontal="left" vertical="center"/>
    </xf>
    <xf numFmtId="0" fontId="6" fillId="0" borderId="1" xfId="34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wrapText="1"/>
    </xf>
    <xf numFmtId="0" fontId="6" fillId="0" borderId="14" xfId="34" applyFont="1" applyFill="1" applyBorder="1" applyAlignment="1">
      <alignment vertical="center"/>
    </xf>
    <xf numFmtId="0" fontId="11" fillId="2" borderId="8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 wrapText="1"/>
    </xf>
    <xf numFmtId="0" fontId="5" fillId="0" borderId="3" xfId="7" applyFont="1" applyFill="1" applyBorder="1" applyAlignment="1" applyProtection="1">
      <alignment horizontal="right" vertical="center"/>
    </xf>
    <xf numFmtId="49" fontId="18" fillId="4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/>
    <xf numFmtId="0" fontId="0" fillId="0" borderId="0" xfId="0" applyFont="1" applyFill="1" applyAlignment="1">
      <alignment horizontal="left" vertical="center"/>
    </xf>
    <xf numFmtId="0" fontId="27" fillId="0" borderId="1" xfId="34" applyFont="1" applyFill="1" applyBorder="1" applyAlignment="1">
      <alignment horizontal="center" vertical="center" wrapText="1"/>
    </xf>
    <xf numFmtId="0" fontId="15" fillId="0" borderId="1" xfId="34" applyFont="1" applyFill="1" applyBorder="1" applyAlignment="1">
      <alignment horizontal="left"/>
    </xf>
    <xf numFmtId="1" fontId="28" fillId="0" borderId="1" xfId="34" applyNumberFormat="1" applyFont="1" applyFill="1" applyBorder="1" applyAlignment="1">
      <alignment horizontal="left" vertical="center" wrapText="1"/>
    </xf>
    <xf numFmtId="1" fontId="6" fillId="0" borderId="1" xfId="34" applyNumberFormat="1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/>
    </xf>
    <xf numFmtId="1" fontId="14" fillId="0" borderId="1" xfId="34" applyNumberFormat="1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center" wrapText="1"/>
    </xf>
    <xf numFmtId="1" fontId="6" fillId="0" borderId="1" xfId="0" applyNumberFormat="1" applyFont="1" applyFill="1" applyBorder="1" applyAlignment="1">
      <alignment horizontal="left"/>
    </xf>
    <xf numFmtId="1" fontId="6" fillId="0" borderId="1" xfId="34" applyNumberFormat="1" applyFont="1" applyFill="1" applyBorder="1" applyAlignment="1">
      <alignment horizontal="left" wrapText="1"/>
    </xf>
    <xf numFmtId="0" fontId="28" fillId="0" borderId="1" xfId="34" applyFont="1" applyFill="1" applyBorder="1" applyAlignment="1">
      <alignment horizontal="left" vertical="center" wrapText="1"/>
    </xf>
    <xf numFmtId="0" fontId="28" fillId="0" borderId="1" xfId="0" applyFont="1" applyFill="1" applyBorder="1" applyAlignment="1">
      <alignment horizontal="left" vertical="center" wrapText="1"/>
    </xf>
    <xf numFmtId="0" fontId="28" fillId="0" borderId="1" xfId="0" applyFont="1" applyFill="1" applyBorder="1" applyAlignment="1">
      <alignment horizontal="left"/>
    </xf>
    <xf numFmtId="1" fontId="28" fillId="0" borderId="1" xfId="0" applyNumberFormat="1" applyFont="1" applyFill="1" applyBorder="1" applyAlignment="1">
      <alignment horizontal="left" vertical="center" wrapText="1"/>
    </xf>
    <xf numFmtId="49" fontId="28" fillId="0" borderId="1" xfId="0" applyNumberFormat="1" applyFont="1" applyFill="1" applyBorder="1" applyAlignment="1">
      <alignment horizontal="left" vertical="center" wrapText="1"/>
    </xf>
    <xf numFmtId="0" fontId="27" fillId="0" borderId="1" xfId="0" applyFont="1" applyFill="1" applyBorder="1" applyAlignment="1"/>
    <xf numFmtId="1" fontId="27" fillId="0" borderId="1" xfId="34" applyNumberFormat="1" applyFont="1" applyFill="1" applyBorder="1" applyAlignment="1">
      <alignment horizontal="center" vertical="center" wrapText="1"/>
    </xf>
    <xf numFmtId="0" fontId="27" fillId="0" borderId="1" xfId="34" applyFont="1" applyFill="1" applyBorder="1" applyAlignment="1"/>
    <xf numFmtId="0" fontId="27" fillId="0" borderId="1" xfId="0" applyFont="1" applyFill="1" applyBorder="1" applyAlignment="1">
      <alignment horizontal="center" vertical="center" wrapText="1"/>
    </xf>
    <xf numFmtId="1" fontId="27" fillId="0" borderId="1" xfId="0" applyNumberFormat="1" applyFont="1" applyFill="1" applyBorder="1" applyAlignment="1">
      <alignment horizontal="center" vertical="center" wrapText="1"/>
    </xf>
    <xf numFmtId="0" fontId="27" fillId="0" borderId="1" xfId="56" applyFont="1" applyFill="1" applyBorder="1" applyAlignment="1">
      <alignment horizontal="center" vertical="center" wrapText="1"/>
    </xf>
    <xf numFmtId="1" fontId="27" fillId="0" borderId="1" xfId="0" applyNumberFormat="1" applyFont="1" applyFill="1" applyBorder="1" applyAlignment="1">
      <alignment horizontal="center" vertical="center"/>
    </xf>
    <xf numFmtId="180" fontId="27" fillId="0" borderId="1" xfId="0" applyNumberFormat="1" applyFont="1" applyFill="1" applyBorder="1" applyAlignment="1">
      <alignment horizontal="center" vertical="center" wrapText="1"/>
    </xf>
    <xf numFmtId="180" fontId="27" fillId="0" borderId="1" xfId="34" applyNumberFormat="1" applyFont="1" applyFill="1" applyBorder="1" applyAlignment="1">
      <alignment horizontal="center" vertical="center" wrapText="1"/>
    </xf>
    <xf numFmtId="180" fontId="29" fillId="0" borderId="1" xfId="34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180" fontId="28" fillId="0" borderId="1" xfId="0" applyNumberFormat="1" applyFont="1" applyFill="1" applyBorder="1" applyAlignment="1">
      <alignment horizontal="center" vertical="center" wrapText="1"/>
    </xf>
    <xf numFmtId="180" fontId="8" fillId="0" borderId="1" xfId="34" applyNumberFormat="1" applyFont="1" applyFill="1" applyBorder="1" applyAlignment="1">
      <alignment horizontal="center" vertical="center" wrapText="1"/>
    </xf>
    <xf numFmtId="180" fontId="8" fillId="0" borderId="1" xfId="0" applyNumberFormat="1" applyFont="1" applyFill="1" applyBorder="1" applyAlignment="1">
      <alignment horizontal="center" vertical="center"/>
    </xf>
    <xf numFmtId="180" fontId="30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18" fillId="3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180" fontId="26" fillId="0" borderId="1" xfId="0" applyNumberFormat="1" applyFont="1" applyFill="1" applyBorder="1" applyAlignment="1">
      <alignment horizontal="right" wrapText="1"/>
    </xf>
    <xf numFmtId="180" fontId="5" fillId="0" borderId="1" xfId="0" applyNumberFormat="1" applyFont="1" applyFill="1" applyBorder="1" applyAlignment="1">
      <alignment horizontal="left" vertical="center" wrapText="1"/>
    </xf>
    <xf numFmtId="0" fontId="31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1" fillId="0" borderId="1" xfId="0" applyFont="1" applyFill="1" applyBorder="1" applyAlignment="1">
      <alignment horizontal="left" vertical="top" wrapText="1"/>
    </xf>
    <xf numFmtId="0" fontId="31" fillId="0" borderId="1" xfId="34" applyFont="1" applyFill="1" applyBorder="1" applyAlignment="1">
      <alignment horizontal="left" vertical="center"/>
    </xf>
    <xf numFmtId="1" fontId="5" fillId="0" borderId="1" xfId="0" applyNumberFormat="1" applyFont="1" applyFill="1" applyBorder="1" applyAlignment="1">
      <alignment horizontal="left" vertical="center" wrapText="1"/>
    </xf>
    <xf numFmtId="1" fontId="5" fillId="0" borderId="1" xfId="0" applyNumberFormat="1" applyFont="1" applyFill="1" applyBorder="1" applyAlignment="1">
      <alignment horizontal="left" vertical="center"/>
    </xf>
    <xf numFmtId="180" fontId="31" fillId="0" borderId="1" xfId="0" applyNumberFormat="1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top"/>
    </xf>
    <xf numFmtId="180" fontId="6" fillId="0" borderId="1" xfId="0" applyNumberFormat="1" applyFont="1" applyFill="1" applyBorder="1" applyAlignment="1">
      <alignment horizontal="right" wrapText="1"/>
    </xf>
    <xf numFmtId="0" fontId="26" fillId="0" borderId="1" xfId="0" applyFon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180" fontId="5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/>
    </xf>
    <xf numFmtId="180" fontId="6" fillId="0" borderId="1" xfId="0" applyNumberFormat="1" applyFont="1" applyFill="1" applyBorder="1" applyAlignment="1">
      <alignment horizontal="right"/>
    </xf>
    <xf numFmtId="0" fontId="14" fillId="0" borderId="0" xfId="0" applyFont="1" applyFill="1" applyBorder="1" applyAlignment="1">
      <alignment horizontal="left" vertical="center" wrapText="1"/>
    </xf>
    <xf numFmtId="49" fontId="18" fillId="3" borderId="14" xfId="0" applyNumberFormat="1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wrapText="1"/>
    </xf>
    <xf numFmtId="0" fontId="6" fillId="0" borderId="16" xfId="0" applyFont="1" applyFill="1" applyBorder="1" applyAlignment="1">
      <alignment horizontal="left" vertical="center"/>
    </xf>
    <xf numFmtId="0" fontId="26" fillId="0" borderId="15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/>
    </xf>
    <xf numFmtId="0" fontId="32" fillId="0" borderId="1" xfId="0" applyFont="1" applyFill="1" applyBorder="1" applyAlignment="1">
      <alignment horizontal="left" vertical="center"/>
    </xf>
    <xf numFmtId="0" fontId="32" fillId="0" borderId="1" xfId="0" applyFont="1" applyFill="1" applyBorder="1" applyAlignment="1">
      <alignment horizontal="left" vertical="center" wrapText="1"/>
    </xf>
    <xf numFmtId="180" fontId="6" fillId="0" borderId="0" xfId="0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horizontal="left" vertical="center"/>
    </xf>
    <xf numFmtId="0" fontId="26" fillId="0" borderId="14" xfId="0" applyFont="1" applyFill="1" applyBorder="1" applyAlignment="1">
      <alignment horizontal="left" vertical="center" wrapText="1"/>
    </xf>
    <xf numFmtId="0" fontId="26" fillId="0" borderId="1" xfId="34" applyFont="1" applyFill="1" applyBorder="1" applyAlignment="1">
      <alignment horizontal="left" vertical="center"/>
    </xf>
    <xf numFmtId="1" fontId="6" fillId="0" borderId="1" xfId="0" applyNumberFormat="1" applyFont="1" applyFill="1" applyBorder="1" applyAlignment="1">
      <alignment horizontal="left" vertical="center" wrapText="1"/>
    </xf>
    <xf numFmtId="180" fontId="31" fillId="0" borderId="1" xfId="0" applyNumberFormat="1" applyFont="1" applyFill="1" applyBorder="1" applyAlignment="1">
      <alignment horizontal="right" vertical="center" wrapText="1"/>
    </xf>
    <xf numFmtId="0" fontId="7" fillId="0" borderId="14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180" fontId="14" fillId="0" borderId="1" xfId="0" applyNumberFormat="1" applyFont="1" applyFill="1" applyBorder="1" applyAlignment="1">
      <alignment horizontal="right" vertical="center" wrapText="1"/>
    </xf>
    <xf numFmtId="0" fontId="14" fillId="0" borderId="14" xfId="0" applyFont="1" applyFill="1" applyBorder="1" applyAlignment="1">
      <alignment horizontal="left" vertical="center" wrapText="1"/>
    </xf>
    <xf numFmtId="0" fontId="7" fillId="0" borderId="1" xfId="7" applyFont="1" applyFill="1" applyBorder="1" applyAlignment="1">
      <alignment horizontal="left" vertical="center"/>
    </xf>
    <xf numFmtId="0" fontId="31" fillId="0" borderId="1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/>
    </xf>
    <xf numFmtId="180" fontId="6" fillId="0" borderId="1" xfId="0" applyNumberFormat="1" applyFont="1" applyFill="1" applyBorder="1" applyAlignment="1">
      <alignment vertical="center" wrapText="1"/>
    </xf>
    <xf numFmtId="0" fontId="33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/>
    </xf>
    <xf numFmtId="180" fontId="4" fillId="0" borderId="1" xfId="34" applyNumberFormat="1" applyFont="1" applyFill="1" applyBorder="1" applyAlignment="1">
      <alignment horizontal="right" wrapText="1"/>
    </xf>
    <xf numFmtId="0" fontId="0" fillId="0" borderId="0" xfId="0" applyFill="1"/>
    <xf numFmtId="0" fontId="1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9" xfId="0" applyFont="1" applyFill="1" applyBorder="1" applyAlignment="1">
      <alignment horizontal="left" vertical="center"/>
    </xf>
    <xf numFmtId="0" fontId="17" fillId="0" borderId="10" xfId="7" applyFont="1" applyFill="1" applyBorder="1" applyAlignment="1" applyProtection="1">
      <alignment horizontal="left" vertical="center"/>
    </xf>
    <xf numFmtId="0" fontId="0" fillId="0" borderId="3" xfId="0" applyBorder="1" applyAlignment="1">
      <alignment horizontal="left"/>
    </xf>
    <xf numFmtId="0" fontId="2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1" fontId="34" fillId="0" borderId="3" xfId="0" applyNumberFormat="1" applyFont="1" applyFill="1" applyBorder="1" applyAlignment="1">
      <alignment horizontal="left" vertical="center"/>
    </xf>
    <xf numFmtId="1" fontId="14" fillId="0" borderId="1" xfId="0" applyNumberFormat="1" applyFont="1" applyFill="1" applyBorder="1" applyAlignment="1">
      <alignment horizontal="left" vertical="center"/>
    </xf>
    <xf numFmtId="0" fontId="35" fillId="0" borderId="0" xfId="0" applyFont="1"/>
    <xf numFmtId="0" fontId="36" fillId="0" borderId="1" xfId="0" applyFont="1" applyBorder="1" applyAlignment="1">
      <alignment vertical="center"/>
    </xf>
    <xf numFmtId="0" fontId="37" fillId="0" borderId="1" xfId="0" applyFont="1" applyFill="1" applyBorder="1" applyAlignment="1">
      <alignment horizontal="left" vertical="center"/>
    </xf>
    <xf numFmtId="1" fontId="26" fillId="0" borderId="1" xfId="0" applyNumberFormat="1" applyFont="1" applyFill="1" applyBorder="1" applyAlignment="1">
      <alignment horizontal="left" vertical="center"/>
    </xf>
    <xf numFmtId="0" fontId="36" fillId="0" borderId="1" xfId="0" applyFont="1" applyBorder="1"/>
    <xf numFmtId="0" fontId="34" fillId="0" borderId="1" xfId="0" applyFont="1" applyFill="1" applyBorder="1" applyAlignment="1">
      <alignment horizontal="left" vertical="center"/>
    </xf>
    <xf numFmtId="0" fontId="38" fillId="0" borderId="1" xfId="0" applyFont="1" applyBorder="1" applyAlignment="1">
      <alignment horizontal="left"/>
    </xf>
    <xf numFmtId="0" fontId="39" fillId="0" borderId="1" xfId="0" applyFont="1" applyFill="1" applyBorder="1" applyAlignment="1">
      <alignment horizontal="left" vertical="center"/>
    </xf>
    <xf numFmtId="1" fontId="34" fillId="0" borderId="1" xfId="0" applyNumberFormat="1" applyFont="1" applyFill="1" applyBorder="1" applyAlignment="1">
      <alignment horizontal="left" vertical="center"/>
    </xf>
    <xf numFmtId="0" fontId="34" fillId="0" borderId="1" xfId="0" applyFont="1" applyFill="1" applyBorder="1" applyAlignment="1">
      <alignment horizontal="left" vertical="center" wrapText="1"/>
    </xf>
    <xf numFmtId="0" fontId="40" fillId="0" borderId="1" xfId="0" applyFont="1" applyFill="1" applyBorder="1" applyAlignment="1">
      <alignment horizontal="left" vertical="center"/>
    </xf>
    <xf numFmtId="1" fontId="20" fillId="0" borderId="1" xfId="0" applyNumberFormat="1" applyFont="1" applyFill="1" applyBorder="1" applyAlignment="1">
      <alignment horizontal="left" vertical="center"/>
    </xf>
    <xf numFmtId="0" fontId="38" fillId="0" borderId="3" xfId="0" applyFont="1" applyBorder="1" applyAlignment="1">
      <alignment horizontal="left" vertical="center"/>
    </xf>
    <xf numFmtId="0" fontId="3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34" applyFont="1"/>
    <xf numFmtId="0" fontId="0" fillId="0" borderId="0" xfId="34" applyFont="1" applyFill="1"/>
    <xf numFmtId="0" fontId="0" fillId="0" borderId="0" xfId="34" applyFont="1" applyFill="1"/>
    <xf numFmtId="0" fontId="41" fillId="0" borderId="0" xfId="34" applyFont="1" applyFill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1" fillId="0" borderId="0" xfId="0" applyFont="1" applyFill="1" applyAlignment="1">
      <alignment horizontal="left"/>
    </xf>
    <xf numFmtId="0" fontId="6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left" vertical="center"/>
    </xf>
    <xf numFmtId="1" fontId="6" fillId="0" borderId="0" xfId="0" applyNumberFormat="1" applyFont="1" applyFill="1" applyBorder="1" applyAlignment="1">
      <alignment horizontal="left" vertical="center"/>
    </xf>
    <xf numFmtId="0" fontId="41" fillId="0" borderId="0" xfId="34" applyFont="1" applyFill="1" applyAlignment="1">
      <alignment horizontal="left"/>
    </xf>
    <xf numFmtId="0" fontId="19" fillId="2" borderId="1" xfId="0" applyFont="1" applyFill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19" fillId="0" borderId="10" xfId="7" applyFont="1" applyFill="1" applyBorder="1" applyAlignment="1" applyProtection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14" fillId="0" borderId="11" xfId="7" applyFont="1" applyFill="1" applyBorder="1" applyAlignment="1" applyProtection="1">
      <alignment horizontal="left" vertical="center"/>
    </xf>
    <xf numFmtId="49" fontId="43" fillId="0" borderId="1" xfId="0" applyNumberFormat="1" applyFont="1" applyFill="1" applyBorder="1" applyAlignment="1">
      <alignment horizontal="left" vertical="center"/>
    </xf>
    <xf numFmtId="49" fontId="10" fillId="0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left" vertical="center"/>
    </xf>
    <xf numFmtId="0" fontId="44" fillId="0" borderId="1" xfId="34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right" vertical="center"/>
    </xf>
    <xf numFmtId="0" fontId="0" fillId="0" borderId="0" xfId="34" applyFont="1" applyAlignment="1">
      <alignment horizontal="left"/>
    </xf>
    <xf numFmtId="0" fontId="45" fillId="0" borderId="1" xfId="0" applyFont="1" applyFill="1" applyBorder="1" applyAlignment="1">
      <alignment horizontal="left" vertical="center"/>
    </xf>
    <xf numFmtId="0" fontId="4" fillId="0" borderId="1" xfId="34" applyFont="1" applyFill="1" applyBorder="1" applyAlignment="1">
      <alignment horizontal="left" vertical="center"/>
    </xf>
    <xf numFmtId="180" fontId="27" fillId="0" borderId="1" xfId="0" applyNumberFormat="1" applyFont="1" applyFill="1" applyBorder="1" applyAlignment="1">
      <alignment horizontal="left" vertical="center"/>
    </xf>
    <xf numFmtId="1" fontId="4" fillId="0" borderId="1" xfId="0" applyNumberFormat="1" applyFont="1" applyFill="1" applyBorder="1" applyAlignment="1">
      <alignment horizontal="left" vertical="center"/>
    </xf>
    <xf numFmtId="0" fontId="4" fillId="0" borderId="15" xfId="0" applyFont="1" applyFill="1" applyBorder="1" applyAlignment="1">
      <alignment horizontal="left" vertical="center"/>
    </xf>
    <xf numFmtId="0" fontId="27" fillId="0" borderId="15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0" fillId="0" borderId="0" xfId="34" applyFont="1" applyFill="1" applyAlignment="1">
      <alignment horizontal="left"/>
    </xf>
    <xf numFmtId="0" fontId="27" fillId="0" borderId="3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left" vertical="center"/>
    </xf>
    <xf numFmtId="1" fontId="4" fillId="0" borderId="3" xfId="0" applyNumberFormat="1" applyFont="1" applyFill="1" applyBorder="1" applyAlignment="1">
      <alignment horizontal="left" vertical="center"/>
    </xf>
    <xf numFmtId="0" fontId="46" fillId="0" borderId="17" xfId="0" applyFont="1" applyFill="1" applyBorder="1" applyAlignment="1">
      <alignment horizontal="center" vertical="center" wrapText="1"/>
    </xf>
    <xf numFmtId="0" fontId="46" fillId="0" borderId="18" xfId="0" applyFont="1" applyFill="1" applyBorder="1" applyAlignment="1">
      <alignment horizontal="center" vertical="center" wrapText="1"/>
    </xf>
    <xf numFmtId="1" fontId="4" fillId="0" borderId="14" xfId="0" applyNumberFormat="1" applyFont="1" applyFill="1" applyBorder="1" applyAlignment="1">
      <alignment horizontal="left" vertical="center"/>
    </xf>
    <xf numFmtId="0" fontId="46" fillId="0" borderId="19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/>
    </xf>
    <xf numFmtId="1" fontId="25" fillId="0" borderId="1" xfId="0" applyNumberFormat="1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47" fillId="0" borderId="0" xfId="0" applyFont="1"/>
    <xf numFmtId="0" fontId="48" fillId="0" borderId="1" xfId="0" applyFont="1" applyFill="1" applyBorder="1" applyAlignment="1">
      <alignment horizontal="left" vertical="top"/>
    </xf>
    <xf numFmtId="0" fontId="49" fillId="0" borderId="1" xfId="0" applyFont="1" applyFill="1" applyBorder="1" applyAlignment="1">
      <alignment vertical="center"/>
    </xf>
    <xf numFmtId="0" fontId="50" fillId="0" borderId="1" xfId="0" applyFont="1" applyFill="1" applyBorder="1" applyAlignment="1">
      <alignment horizontal="left"/>
    </xf>
    <xf numFmtId="0" fontId="51" fillId="0" borderId="1" xfId="0" applyFont="1" applyFill="1" applyBorder="1" applyAlignment="1">
      <alignment horizontal="center" vertical="center"/>
    </xf>
    <xf numFmtId="0" fontId="49" fillId="0" borderId="1" xfId="55" applyFont="1" applyFill="1" applyBorder="1" applyAlignment="1">
      <alignment horizontal="left" vertical="center"/>
    </xf>
    <xf numFmtId="0" fontId="50" fillId="0" borderId="1" xfId="0" applyFont="1" applyFill="1" applyBorder="1" applyAlignment="1">
      <alignment horizontal="left" vertical="center"/>
    </xf>
    <xf numFmtId="0" fontId="25" fillId="0" borderId="1" xfId="34" applyFont="1" applyFill="1" applyBorder="1" applyAlignment="1">
      <alignment horizontal="center" vertical="center"/>
    </xf>
    <xf numFmtId="0" fontId="52" fillId="0" borderId="1" xfId="0" applyFont="1" applyBorder="1"/>
    <xf numFmtId="1" fontId="4" fillId="0" borderId="1" xfId="0" applyNumberFormat="1" applyFont="1" applyFill="1" applyBorder="1" applyAlignment="1">
      <alignment horizontal="left" vertical="center" wrapText="1"/>
    </xf>
    <xf numFmtId="0" fontId="4" fillId="0" borderId="1" xfId="34" applyFont="1" applyFill="1" applyBorder="1" applyAlignment="1">
      <alignment horizontal="center" vertical="center"/>
    </xf>
    <xf numFmtId="0" fontId="4" fillId="0" borderId="1" xfId="53" applyFont="1" applyFill="1" applyBorder="1" applyAlignment="1">
      <alignment horizontal="center" vertical="center"/>
    </xf>
    <xf numFmtId="1" fontId="4" fillId="0" borderId="1" xfId="53" applyNumberFormat="1" applyFont="1" applyFill="1" applyBorder="1" applyAlignment="1">
      <alignment horizontal="left" vertical="center"/>
    </xf>
    <xf numFmtId="1" fontId="4" fillId="0" borderId="1" xfId="34" applyNumberFormat="1" applyFont="1" applyFill="1" applyBorder="1" applyAlignment="1">
      <alignment horizontal="left" vertical="center"/>
    </xf>
    <xf numFmtId="0" fontId="49" fillId="0" borderId="1" xfId="34" applyFont="1" applyFill="1" applyBorder="1" applyAlignment="1">
      <alignment vertical="center"/>
    </xf>
    <xf numFmtId="0" fontId="53" fillId="0" borderId="1" xfId="34" applyFont="1" applyFill="1" applyBorder="1" applyAlignment="1">
      <alignment vertical="center"/>
    </xf>
    <xf numFmtId="0" fontId="54" fillId="0" borderId="1" xfId="34" applyFont="1" applyFill="1" applyBorder="1" applyAlignment="1">
      <alignment vertical="center"/>
    </xf>
    <xf numFmtId="0" fontId="54" fillId="0" borderId="1" xfId="0" applyFont="1" applyFill="1" applyBorder="1" applyAlignment="1">
      <alignment horizontal="center" vertical="center"/>
    </xf>
    <xf numFmtId="1" fontId="55" fillId="0" borderId="1" xfId="0" applyNumberFormat="1" applyFont="1" applyFill="1" applyBorder="1" applyAlignment="1">
      <alignment vertical="center"/>
    </xf>
    <xf numFmtId="0" fontId="55" fillId="0" borderId="1" xfId="34" applyFont="1" applyFill="1" applyBorder="1" applyAlignment="1">
      <alignment horizontal="center" vertical="center"/>
    </xf>
    <xf numFmtId="1" fontId="54" fillId="0" borderId="1" xfId="0" applyNumberFormat="1" applyFont="1" applyFill="1" applyBorder="1" applyAlignment="1">
      <alignment vertical="center"/>
    </xf>
    <xf numFmtId="1" fontId="54" fillId="0" borderId="1" xfId="0" applyNumberFormat="1" applyFont="1" applyFill="1" applyBorder="1" applyAlignment="1">
      <alignment horizontal="right" vertical="center"/>
    </xf>
    <xf numFmtId="1" fontId="55" fillId="0" borderId="1" xfId="0" applyNumberFormat="1" applyFont="1" applyFill="1" applyBorder="1" applyAlignment="1">
      <alignment horizontal="right" vertical="center"/>
    </xf>
    <xf numFmtId="0" fontId="53" fillId="0" borderId="1" xfId="0" applyFont="1" applyFill="1" applyBorder="1" applyAlignment="1">
      <alignment horizontal="left" vertical="center"/>
    </xf>
    <xf numFmtId="0" fontId="54" fillId="0" borderId="1" xfId="0" applyFont="1" applyFill="1" applyBorder="1" applyAlignment="1">
      <alignment horizontal="left" vertical="center"/>
    </xf>
    <xf numFmtId="0" fontId="49" fillId="0" borderId="1" xfId="0" applyFont="1" applyFill="1" applyBorder="1" applyAlignment="1">
      <alignment horizontal="left" vertical="center"/>
    </xf>
    <xf numFmtId="0" fontId="56" fillId="0" borderId="0" xfId="0" applyFont="1"/>
    <xf numFmtId="0" fontId="44" fillId="0" borderId="1" xfId="34" applyFont="1" applyFill="1" applyBorder="1" applyAlignment="1">
      <alignment horizontal="left" vertical="center"/>
    </xf>
    <xf numFmtId="0" fontId="47" fillId="0" borderId="1" xfId="0" applyFont="1" applyFill="1" applyBorder="1" applyAlignment="1">
      <alignment vertical="top" wrapText="1"/>
    </xf>
    <xf numFmtId="0" fontId="54" fillId="0" borderId="1" xfId="0" applyFont="1" applyFill="1" applyBorder="1" applyAlignment="1">
      <alignment horizontal="left" vertical="center"/>
    </xf>
    <xf numFmtId="0" fontId="54" fillId="0" borderId="1" xfId="34" applyFont="1" applyFill="1" applyBorder="1" applyAlignment="1">
      <alignment horizontal="center" vertical="center"/>
    </xf>
    <xf numFmtId="0" fontId="56" fillId="0" borderId="0" xfId="0" applyFont="1" applyFill="1"/>
    <xf numFmtId="1" fontId="6" fillId="0" borderId="1" xfId="0" applyNumberFormat="1" applyFont="1" applyFill="1" applyBorder="1" applyAlignment="1">
      <alignment horizontal="left" vertical="center"/>
    </xf>
    <xf numFmtId="1" fontId="54" fillId="0" borderId="1" xfId="0" applyNumberFormat="1" applyFont="1" applyFill="1" applyBorder="1" applyAlignment="1">
      <alignment vertical="center"/>
    </xf>
    <xf numFmtId="0" fontId="54" fillId="0" borderId="1" xfId="34" applyFont="1" applyFill="1" applyBorder="1" applyAlignment="1">
      <alignment horizontal="center" vertical="center"/>
    </xf>
    <xf numFmtId="1" fontId="54" fillId="0" borderId="1" xfId="34" applyNumberFormat="1" applyFont="1" applyFill="1" applyBorder="1" applyAlignment="1">
      <alignment vertical="center"/>
    </xf>
    <xf numFmtId="1" fontId="49" fillId="0" borderId="1" xfId="0" applyNumberFormat="1" applyFont="1" applyFill="1" applyBorder="1" applyAlignment="1">
      <alignment horizontal="right" vertical="center" wrapText="1"/>
    </xf>
    <xf numFmtId="0" fontId="57" fillId="0" borderId="1" xfId="0" applyFont="1" applyFill="1" applyBorder="1" applyAlignment="1">
      <alignment horizontal="left" vertical="center"/>
    </xf>
    <xf numFmtId="0" fontId="55" fillId="0" borderId="1" xfId="0" applyFont="1" applyFill="1" applyBorder="1" applyAlignment="1">
      <alignment horizontal="left" vertical="center"/>
    </xf>
    <xf numFmtId="0" fontId="55" fillId="0" borderId="1" xfId="0" applyFont="1" applyFill="1" applyBorder="1" applyAlignment="1">
      <alignment horizontal="center" vertical="center"/>
    </xf>
    <xf numFmtId="0" fontId="58" fillId="0" borderId="1" xfId="0" applyFont="1" applyFill="1" applyBorder="1" applyAlignment="1">
      <alignment vertical="center"/>
    </xf>
    <xf numFmtId="1" fontId="49" fillId="0" borderId="1" xfId="0" applyNumberFormat="1" applyFont="1" applyFill="1" applyBorder="1" applyAlignment="1">
      <alignment horizontal="right" vertical="center"/>
    </xf>
    <xf numFmtId="1" fontId="49" fillId="0" borderId="1" xfId="0" applyNumberFormat="1" applyFont="1" applyFill="1" applyBorder="1" applyAlignment="1">
      <alignment vertical="center"/>
    </xf>
    <xf numFmtId="0" fontId="59" fillId="0" borderId="1" xfId="0" applyFont="1" applyFill="1" applyBorder="1" applyAlignment="1">
      <alignment horizontal="left" vertical="center"/>
    </xf>
    <xf numFmtId="0" fontId="49" fillId="0" borderId="1" xfId="0" applyFont="1" applyFill="1" applyBorder="1" applyAlignment="1">
      <alignment horizontal="center" vertical="center"/>
    </xf>
    <xf numFmtId="0" fontId="53" fillId="0" borderId="1" xfId="0" applyFont="1" applyFill="1" applyBorder="1" applyAlignment="1">
      <alignment vertical="center"/>
    </xf>
    <xf numFmtId="0" fontId="60" fillId="0" borderId="1" xfId="0" applyFont="1" applyFill="1" applyBorder="1" applyAlignment="1">
      <alignment vertical="center"/>
    </xf>
    <xf numFmtId="0" fontId="60" fillId="0" borderId="1" xfId="0" applyFont="1" applyFill="1" applyBorder="1" applyAlignment="1">
      <alignment horizontal="center" vertical="center"/>
    </xf>
    <xf numFmtId="0" fontId="54" fillId="0" borderId="1" xfId="0" applyFont="1" applyFill="1" applyBorder="1" applyAlignment="1">
      <alignment vertical="center"/>
    </xf>
    <xf numFmtId="1" fontId="54" fillId="0" borderId="3" xfId="0" applyNumberFormat="1" applyFont="1" applyFill="1" applyBorder="1" applyAlignment="1">
      <alignment horizontal="right" vertical="center"/>
    </xf>
    <xf numFmtId="0" fontId="47" fillId="0" borderId="1" xfId="0" applyFont="1" applyBorder="1"/>
    <xf numFmtId="0" fontId="35" fillId="0" borderId="0" xfId="0" applyFont="1" applyAlignment="1">
      <alignment horizontal="center"/>
    </xf>
    <xf numFmtId="0" fontId="47" fillId="0" borderId="3" xfId="0" applyFont="1" applyFill="1" applyBorder="1"/>
    <xf numFmtId="0" fontId="14" fillId="0" borderId="1" xfId="0" applyFont="1" applyFill="1" applyBorder="1" applyAlignment="1">
      <alignment vertical="center"/>
    </xf>
    <xf numFmtId="180" fontId="22" fillId="0" borderId="1" xfId="0" applyNumberFormat="1" applyFont="1" applyFill="1" applyBorder="1" applyAlignment="1">
      <alignment horizontal="left" vertical="center"/>
    </xf>
    <xf numFmtId="0" fontId="41" fillId="0" borderId="0" xfId="34" applyFont="1" applyFill="1" applyAlignment="1">
      <alignment horizontal="left"/>
    </xf>
    <xf numFmtId="180" fontId="45" fillId="0" borderId="1" xfId="0" applyNumberFormat="1" applyFont="1" applyFill="1" applyBorder="1" applyAlignment="1">
      <alignment horizontal="left" vertical="center"/>
    </xf>
    <xf numFmtId="180" fontId="4" fillId="0" borderId="1" xfId="0" applyNumberFormat="1" applyFont="1" applyFill="1" applyBorder="1" applyAlignment="1">
      <alignment horizontal="left" vertical="center"/>
    </xf>
    <xf numFmtId="180" fontId="20" fillId="0" borderId="1" xfId="0" applyNumberFormat="1" applyFont="1" applyFill="1" applyBorder="1" applyAlignment="1">
      <alignment horizontal="left"/>
    </xf>
    <xf numFmtId="180" fontId="4" fillId="0" borderId="1" xfId="0" applyNumberFormat="1" applyFont="1" applyFill="1" applyBorder="1" applyAlignment="1">
      <alignment horizontal="left"/>
    </xf>
    <xf numFmtId="180" fontId="22" fillId="0" borderId="1" xfId="0" applyNumberFormat="1" applyFont="1" applyFill="1" applyBorder="1" applyAlignment="1">
      <alignment horizontal="left"/>
    </xf>
    <xf numFmtId="180" fontId="20" fillId="0" borderId="1" xfId="0" applyNumberFormat="1" applyFont="1" applyFill="1" applyBorder="1" applyAlignment="1">
      <alignment horizontal="left" vertical="center"/>
    </xf>
    <xf numFmtId="0" fontId="44" fillId="0" borderId="1" xfId="0" applyFont="1" applyFill="1" applyBorder="1" applyAlignment="1">
      <alignment vertical="center"/>
    </xf>
    <xf numFmtId="0" fontId="4" fillId="0" borderId="0" xfId="49" applyFont="1" applyBorder="1" applyAlignment="1">
      <alignment horizontal="left" vertical="center"/>
    </xf>
    <xf numFmtId="1" fontId="4" fillId="0" borderId="0" xfId="0" applyNumberFormat="1" applyFont="1" applyFill="1" applyBorder="1" applyAlignment="1">
      <alignment horizontal="center" vertical="center"/>
    </xf>
    <xf numFmtId="49" fontId="20" fillId="0" borderId="1" xfId="0" applyNumberFormat="1" applyFont="1" applyFill="1" applyBorder="1" applyAlignment="1">
      <alignment horizontal="left" vertical="center"/>
    </xf>
    <xf numFmtId="0" fontId="41" fillId="0" borderId="1" xfId="0" applyFont="1" applyFill="1" applyBorder="1" applyAlignment="1">
      <alignment horizontal="left"/>
    </xf>
    <xf numFmtId="0" fontId="25" fillId="0" borderId="1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/>
    </xf>
    <xf numFmtId="0" fontId="61" fillId="0" borderId="1" xfId="0" applyFont="1" applyFill="1" applyBorder="1" applyAlignment="1">
      <alignment horizontal="left" vertical="center"/>
    </xf>
    <xf numFmtId="0" fontId="25" fillId="0" borderId="1" xfId="49" applyFont="1" applyFill="1" applyBorder="1" applyAlignment="1">
      <alignment horizontal="left" vertical="center"/>
    </xf>
    <xf numFmtId="0" fontId="31" fillId="0" borderId="1" xfId="49" applyFont="1" applyFill="1" applyBorder="1" applyAlignment="1">
      <alignment horizontal="left" vertical="center"/>
    </xf>
    <xf numFmtId="0" fontId="31" fillId="0" borderId="1" xfId="49" applyFont="1" applyFill="1" applyBorder="1" applyAlignment="1">
      <alignment horizontal="center" vertical="center"/>
    </xf>
    <xf numFmtId="1" fontId="6" fillId="0" borderId="1" xfId="49" applyNumberFormat="1" applyFont="1" applyFill="1" applyBorder="1" applyAlignment="1">
      <alignment horizontal="left" vertical="center"/>
    </xf>
    <xf numFmtId="1" fontId="14" fillId="0" borderId="1" xfId="49" applyNumberFormat="1" applyFont="1" applyFill="1" applyBorder="1" applyAlignment="1">
      <alignment horizontal="left" vertical="center"/>
    </xf>
    <xf numFmtId="0" fontId="26" fillId="0" borderId="1" xfId="34" applyFont="1" applyFill="1" applyBorder="1" applyAlignment="1">
      <alignment horizontal="center" vertical="center"/>
    </xf>
    <xf numFmtId="0" fontId="14" fillId="0" borderId="1" xfId="19" applyFont="1" applyFill="1" applyBorder="1" applyAlignment="1">
      <alignment horizontal="left" vertical="center"/>
    </xf>
    <xf numFmtId="1" fontId="14" fillId="0" borderId="1" xfId="0" applyNumberFormat="1" applyFont="1" applyFill="1" applyBorder="1" applyAlignment="1">
      <alignment horizontal="left" vertical="center" wrapText="1"/>
    </xf>
    <xf numFmtId="0" fontId="14" fillId="0" borderId="1" xfId="55" applyFont="1" applyFill="1" applyBorder="1" applyAlignment="1">
      <alignment horizontal="left" vertical="center"/>
    </xf>
    <xf numFmtId="0" fontId="5" fillId="0" borderId="1" xfId="34" applyFont="1" applyFill="1" applyBorder="1" applyAlignment="1">
      <alignment horizontal="left" vertical="center"/>
    </xf>
    <xf numFmtId="0" fontId="31" fillId="0" borderId="1" xfId="34" applyFont="1" applyFill="1" applyBorder="1" applyAlignment="1">
      <alignment horizontal="center" vertical="center"/>
    </xf>
    <xf numFmtId="1" fontId="26" fillId="0" borderId="1" xfId="0" applyNumberFormat="1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center" vertical="center"/>
    </xf>
    <xf numFmtId="0" fontId="62" fillId="0" borderId="1" xfId="0" applyFont="1" applyFill="1" applyBorder="1" applyAlignment="1">
      <alignment horizontal="left" vertical="center"/>
    </xf>
    <xf numFmtId="1" fontId="31" fillId="0" borderId="1" xfId="0" applyNumberFormat="1" applyFont="1" applyFill="1" applyBorder="1" applyAlignment="1">
      <alignment horizontal="left" vertical="center"/>
    </xf>
    <xf numFmtId="0" fontId="33" fillId="0" borderId="1" xfId="0" applyFont="1" applyFill="1" applyBorder="1" applyAlignment="1">
      <alignment horizontal="center" vertical="center"/>
    </xf>
    <xf numFmtId="0" fontId="63" fillId="0" borderId="1" xfId="34" applyFont="1" applyFill="1" applyBorder="1" applyAlignment="1">
      <alignment horizontal="center" vertical="center"/>
    </xf>
    <xf numFmtId="0" fontId="64" fillId="0" borderId="1" xfId="0" applyFont="1" applyFill="1" applyBorder="1" applyAlignment="1">
      <alignment horizontal="center" vertical="center"/>
    </xf>
    <xf numFmtId="180" fontId="5" fillId="0" borderId="1" xfId="0" applyNumberFormat="1" applyFont="1" applyFill="1" applyBorder="1" applyAlignment="1">
      <alignment horizontal="left" vertical="center"/>
    </xf>
    <xf numFmtId="0" fontId="5" fillId="0" borderId="1" xfId="53" applyFont="1" applyFill="1" applyBorder="1" applyAlignment="1">
      <alignment horizontal="left" vertical="center"/>
    </xf>
    <xf numFmtId="0" fontId="5" fillId="0" borderId="1" xfId="53" applyFont="1" applyFill="1" applyBorder="1" applyAlignment="1">
      <alignment horizontal="center" vertical="center"/>
    </xf>
    <xf numFmtId="180" fontId="5" fillId="0" borderId="1" xfId="53" applyNumberFormat="1" applyFont="1" applyFill="1" applyBorder="1" applyAlignment="1">
      <alignment horizontal="left" vertical="center"/>
    </xf>
    <xf numFmtId="1" fontId="5" fillId="0" borderId="1" xfId="53" applyNumberFormat="1" applyFont="1" applyFill="1" applyBorder="1" applyAlignment="1">
      <alignment horizontal="left" vertical="center"/>
    </xf>
    <xf numFmtId="0" fontId="32" fillId="0" borderId="1" xfId="0" applyFont="1" applyFill="1" applyBorder="1" applyAlignment="1">
      <alignment horizontal="center"/>
    </xf>
    <xf numFmtId="0" fontId="44" fillId="0" borderId="0" xfId="34" applyFont="1" applyFill="1" applyBorder="1" applyAlignment="1">
      <alignment horizontal="left" vertical="center"/>
    </xf>
    <xf numFmtId="0" fontId="41" fillId="0" borderId="0" xfId="0" applyFont="1" applyFill="1" applyAlignment="1">
      <alignment horizontal="center"/>
    </xf>
    <xf numFmtId="0" fontId="22" fillId="0" borderId="0" xfId="0" applyFont="1" applyFill="1" applyAlignment="1">
      <alignment horizontal="left"/>
    </xf>
  </cellXfs>
  <cellStyles count="57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Normal 8" xfId="19"/>
    <cellStyle name="Heading 1" xfId="20" builtinId="16"/>
    <cellStyle name="Heading 3" xfId="21" builtinId="18"/>
    <cellStyle name="Heading 4" xfId="22" builtinId="19"/>
    <cellStyle name="Input" xfId="23" builtinId="20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Normal 2" xfId="34"/>
    <cellStyle name="20% - Accent5" xfId="35" builtinId="46"/>
    <cellStyle name="60% - Accent1" xfId="36" builtinId="32"/>
    <cellStyle name="Accent2" xfId="37" builtinId="33"/>
    <cellStyle name="20% - Accent2" xfId="38" builtinId="34"/>
    <cellStyle name="Normal 3" xfId="39"/>
    <cellStyle name="20% - Accent6" xfId="40" builtinId="50"/>
    <cellStyle name="60% - Accent2" xfId="41" builtinId="36"/>
    <cellStyle name="Accent3" xfId="42" builtinId="37"/>
    <cellStyle name="20% - Accent3" xfId="43" builtinId="38"/>
    <cellStyle name="Accent4" xfId="44" builtinId="41"/>
    <cellStyle name="20% - Accent4" xfId="45" builtinId="42"/>
    <cellStyle name="40% - Accent4" xfId="46" builtinId="43"/>
    <cellStyle name="Accent5" xfId="47" builtinId="45"/>
    <cellStyle name="40% - Accent5" xfId="48" builtinId="47"/>
    <cellStyle name="Normal 6" xfId="49"/>
    <cellStyle name="60% - Accent5" xfId="50" builtinId="48"/>
    <cellStyle name="Accent6" xfId="51" builtinId="49"/>
    <cellStyle name="40% - Accent6" xfId="52" builtinId="51"/>
    <cellStyle name="Normal 7" xfId="53"/>
    <cellStyle name="60% - Accent6" xfId="54" builtinId="52"/>
    <cellStyle name="Normal 2 2 3" xfId="55"/>
    <cellStyle name="Normal 2 2" xfId="56"/>
  </cellStyles>
  <tableStyles count="0" defaultTableStyle="TableStyleMedium9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37</xdr:row>
      <xdr:rowOff>137795</xdr:rowOff>
    </xdr:from>
    <xdr:to>
      <xdr:col>7</xdr:col>
      <xdr:colOff>9525</xdr:colOff>
      <xdr:row>39</xdr:row>
      <xdr:rowOff>133350</xdr:rowOff>
    </xdr:to>
    <xdr:pic>
      <xdr:nvPicPr>
        <xdr:cNvPr id="2" name="Picture 23" descr="CSI -26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12965" y="9173845"/>
          <a:ext cx="9525" cy="319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37</xdr:row>
      <xdr:rowOff>137795</xdr:rowOff>
    </xdr:from>
    <xdr:to>
      <xdr:col>7</xdr:col>
      <xdr:colOff>9525</xdr:colOff>
      <xdr:row>40</xdr:row>
      <xdr:rowOff>33020</xdr:rowOff>
    </xdr:to>
    <xdr:pic>
      <xdr:nvPicPr>
        <xdr:cNvPr id="3" name="Picture 24" descr="CSI-27.jp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212965" y="9173845"/>
          <a:ext cx="9525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38</xdr:row>
      <xdr:rowOff>143510</xdr:rowOff>
    </xdr:from>
    <xdr:to>
      <xdr:col>7</xdr:col>
      <xdr:colOff>9525</xdr:colOff>
      <xdr:row>42</xdr:row>
      <xdr:rowOff>23495</xdr:rowOff>
    </xdr:to>
    <xdr:pic>
      <xdr:nvPicPr>
        <xdr:cNvPr id="4" name="Picture 22" descr="DSC07501.jp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212965" y="9341485"/>
          <a:ext cx="9525" cy="527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38</xdr:row>
      <xdr:rowOff>82550</xdr:rowOff>
    </xdr:from>
    <xdr:to>
      <xdr:col>7</xdr:col>
      <xdr:colOff>9525</xdr:colOff>
      <xdr:row>42</xdr:row>
      <xdr:rowOff>38100</xdr:rowOff>
    </xdr:to>
    <xdr:pic>
      <xdr:nvPicPr>
        <xdr:cNvPr id="5" name="Picture 23" descr="DSC07498.jp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212965" y="9280525"/>
          <a:ext cx="9525" cy="603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9525</xdr:colOff>
      <xdr:row>39</xdr:row>
      <xdr:rowOff>158115</xdr:rowOff>
    </xdr:to>
    <xdr:pic>
      <xdr:nvPicPr>
        <xdr:cNvPr id="6" name="Picture 23" descr="CSI -26.jp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212965" y="9197975"/>
          <a:ext cx="9525" cy="320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9525</xdr:colOff>
      <xdr:row>40</xdr:row>
      <xdr:rowOff>57150</xdr:rowOff>
    </xdr:to>
    <xdr:pic>
      <xdr:nvPicPr>
        <xdr:cNvPr id="7" name="Picture 24" descr="CSI-27.jp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212965" y="9197975"/>
          <a:ext cx="9525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29</xdr:row>
      <xdr:rowOff>205740</xdr:rowOff>
    </xdr:from>
    <xdr:to>
      <xdr:col>7</xdr:col>
      <xdr:colOff>10160</xdr:colOff>
      <xdr:row>31</xdr:row>
      <xdr:rowOff>13335</xdr:rowOff>
    </xdr:to>
    <xdr:pic>
      <xdr:nvPicPr>
        <xdr:cNvPr id="8" name="Picture 13" descr="IMG_4264 copy.jp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212965" y="7353300"/>
          <a:ext cx="10160" cy="175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10160</xdr:colOff>
      <xdr:row>35</xdr:row>
      <xdr:rowOff>175895</xdr:rowOff>
    </xdr:to>
    <xdr:pic>
      <xdr:nvPicPr>
        <xdr:cNvPr id="19" name="Picture 13" descr="IMG_4264 copy.jp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212965" y="8518525"/>
          <a:ext cx="10160" cy="175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33</xdr:row>
      <xdr:rowOff>205740</xdr:rowOff>
    </xdr:from>
    <xdr:to>
      <xdr:col>7</xdr:col>
      <xdr:colOff>10160</xdr:colOff>
      <xdr:row>34</xdr:row>
      <xdr:rowOff>175895</xdr:rowOff>
    </xdr:to>
    <xdr:pic>
      <xdr:nvPicPr>
        <xdr:cNvPr id="20" name="Picture 13" descr="IMG_4264 copy.jp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212965" y="8194675"/>
          <a:ext cx="10160" cy="1758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P1048479"/>
  <sheetViews>
    <sheetView workbookViewId="0">
      <selection activeCell="E10" sqref="E10"/>
    </sheetView>
  </sheetViews>
  <sheetFormatPr defaultColWidth="9.14285714285714" defaultRowHeight="15.75"/>
  <cols>
    <col min="1" max="1" width="7.85714285714286" style="273" customWidth="1"/>
    <col min="2" max="2" width="22.1428571428571" style="274" customWidth="1"/>
    <col min="3" max="3" width="42.1428571428571" style="229" customWidth="1"/>
    <col min="4" max="4" width="11.7142857142857" style="275" customWidth="1"/>
    <col min="5" max="5" width="28.7142857142857" style="276" customWidth="1"/>
    <col min="6" max="6" width="56.1428571428571" style="277" customWidth="1"/>
    <col min="7" max="7" width="11.8571428571429" style="278"/>
    <col min="8" max="8" width="9.14285714285714" style="278"/>
    <col min="9" max="10" width="9.14285714285714" style="279"/>
    <col min="11" max="16384" width="9.14285714285714" style="270"/>
  </cols>
  <sheetData>
    <row r="1" s="73" customFormat="1" ht="30.75" spans="1:250">
      <c r="A1" s="34" t="s">
        <v>0</v>
      </c>
      <c r="B1" s="280"/>
      <c r="C1" s="34"/>
      <c r="D1" s="34"/>
      <c r="E1" s="34"/>
      <c r="F1" s="281"/>
      <c r="G1" s="34"/>
      <c r="H1" s="34"/>
      <c r="I1" s="125"/>
      <c r="J1" s="222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  <c r="BW1" s="127"/>
      <c r="BX1" s="127"/>
      <c r="BY1" s="127"/>
      <c r="BZ1" s="127"/>
      <c r="CA1" s="127"/>
      <c r="CB1" s="127"/>
      <c r="CC1" s="127"/>
      <c r="CD1" s="127"/>
      <c r="CE1" s="127"/>
      <c r="CF1" s="127"/>
      <c r="CG1" s="127"/>
      <c r="CH1" s="127"/>
      <c r="CI1" s="127"/>
      <c r="CJ1" s="127"/>
      <c r="CK1" s="127"/>
      <c r="CL1" s="127"/>
      <c r="CM1" s="127"/>
      <c r="CN1" s="127"/>
      <c r="CO1" s="127"/>
      <c r="CP1" s="127"/>
      <c r="CQ1" s="127"/>
      <c r="CR1" s="127"/>
      <c r="CS1" s="127"/>
      <c r="CT1" s="127"/>
      <c r="CU1" s="127"/>
      <c r="CV1" s="127"/>
      <c r="CW1" s="127"/>
      <c r="CX1" s="127"/>
      <c r="CY1" s="127"/>
      <c r="CZ1" s="127"/>
      <c r="DA1" s="127"/>
      <c r="DB1" s="127"/>
      <c r="DC1" s="127"/>
      <c r="DD1" s="127"/>
      <c r="DE1" s="127"/>
      <c r="DF1" s="127"/>
      <c r="DG1" s="127"/>
      <c r="DH1" s="127"/>
      <c r="DI1" s="127"/>
      <c r="DJ1" s="127"/>
      <c r="DK1" s="127"/>
      <c r="DL1" s="127"/>
      <c r="DM1" s="127"/>
      <c r="DN1" s="127"/>
      <c r="DO1" s="127"/>
      <c r="DP1" s="127"/>
      <c r="DQ1" s="127"/>
      <c r="DR1" s="127"/>
      <c r="DS1" s="127"/>
      <c r="DT1" s="127"/>
      <c r="DU1" s="127"/>
      <c r="DV1" s="127"/>
      <c r="DW1" s="127"/>
      <c r="DX1" s="127"/>
      <c r="DY1" s="127"/>
      <c r="DZ1" s="127"/>
      <c r="EA1" s="127"/>
      <c r="EB1" s="127"/>
      <c r="EC1" s="127"/>
      <c r="ED1" s="127"/>
      <c r="EE1" s="127"/>
      <c r="EF1" s="127"/>
      <c r="EG1" s="127"/>
      <c r="EH1" s="127"/>
      <c r="EI1" s="127"/>
      <c r="EJ1" s="127"/>
      <c r="EK1" s="127"/>
      <c r="EL1" s="127"/>
      <c r="EM1" s="127"/>
      <c r="EN1" s="127"/>
      <c r="EO1" s="127"/>
      <c r="EP1" s="127"/>
      <c r="EQ1" s="127"/>
      <c r="ER1" s="127"/>
      <c r="ES1" s="127"/>
      <c r="ET1" s="127"/>
      <c r="EU1" s="127"/>
      <c r="EV1" s="127"/>
      <c r="EW1" s="127"/>
      <c r="EX1" s="127"/>
      <c r="EY1" s="127"/>
      <c r="EZ1" s="127"/>
      <c r="FA1" s="127"/>
      <c r="FB1" s="127"/>
      <c r="FC1" s="127"/>
      <c r="FD1" s="127"/>
      <c r="FE1" s="127"/>
      <c r="FF1" s="127"/>
      <c r="FG1" s="127"/>
      <c r="FH1" s="127"/>
      <c r="FI1" s="127"/>
      <c r="FJ1" s="127"/>
      <c r="FK1" s="127"/>
      <c r="FL1" s="127"/>
      <c r="FM1" s="127"/>
      <c r="FN1" s="127"/>
      <c r="FO1" s="127"/>
      <c r="FP1" s="127"/>
      <c r="FQ1" s="127"/>
      <c r="FR1" s="127"/>
      <c r="FS1" s="127"/>
      <c r="FT1" s="127"/>
      <c r="FU1" s="127"/>
      <c r="FV1" s="127"/>
      <c r="FW1" s="127"/>
      <c r="FX1" s="127"/>
      <c r="FY1" s="127"/>
      <c r="FZ1" s="127"/>
      <c r="GA1" s="127"/>
      <c r="GB1" s="127"/>
      <c r="GC1" s="127"/>
      <c r="GD1" s="127"/>
      <c r="GE1" s="127"/>
      <c r="GF1" s="127"/>
      <c r="GG1" s="127"/>
      <c r="GH1" s="127"/>
      <c r="GI1" s="127"/>
      <c r="GJ1" s="127"/>
      <c r="GK1" s="127"/>
      <c r="GL1" s="127"/>
      <c r="GM1" s="127"/>
      <c r="GN1" s="127"/>
      <c r="GO1" s="127"/>
      <c r="GP1" s="127"/>
      <c r="GQ1" s="127"/>
      <c r="GR1" s="127"/>
      <c r="GS1" s="127"/>
      <c r="GT1" s="127"/>
      <c r="GU1" s="127"/>
      <c r="GV1" s="127"/>
      <c r="GW1" s="127"/>
      <c r="GX1" s="127"/>
      <c r="GY1" s="127"/>
      <c r="GZ1" s="127"/>
      <c r="HA1" s="127"/>
      <c r="HB1" s="127"/>
      <c r="HC1" s="127"/>
      <c r="HD1" s="127"/>
      <c r="HE1" s="127"/>
      <c r="HF1" s="127"/>
      <c r="HG1" s="127"/>
      <c r="HH1" s="127"/>
      <c r="HI1" s="127"/>
      <c r="HJ1" s="127"/>
      <c r="HK1" s="127"/>
      <c r="HL1" s="127"/>
      <c r="HM1" s="127"/>
      <c r="HN1" s="127"/>
      <c r="HO1" s="127"/>
      <c r="HP1" s="127"/>
      <c r="HQ1" s="127"/>
      <c r="HR1" s="127"/>
      <c r="HS1" s="127"/>
      <c r="HT1" s="127"/>
      <c r="HU1" s="127"/>
      <c r="HV1" s="127"/>
      <c r="HW1" s="127"/>
      <c r="HX1" s="127"/>
      <c r="HY1" s="127"/>
      <c r="HZ1" s="127"/>
      <c r="IA1" s="127"/>
      <c r="IB1" s="127"/>
      <c r="IC1" s="127"/>
      <c r="ID1" s="127"/>
      <c r="IE1" s="127"/>
      <c r="IF1" s="127"/>
      <c r="IG1" s="127"/>
      <c r="IH1" s="127"/>
      <c r="II1" s="127"/>
      <c r="IJ1" s="127"/>
      <c r="IK1" s="127"/>
      <c r="IL1" s="127"/>
      <c r="IM1" s="127"/>
      <c r="IN1" s="127"/>
      <c r="IO1" s="127"/>
      <c r="IP1" s="127"/>
    </row>
    <row r="2" s="73" customFormat="1" spans="1:250">
      <c r="A2" s="248"/>
      <c r="B2" s="282"/>
      <c r="C2" s="88"/>
      <c r="D2" s="283"/>
      <c r="E2" s="87"/>
      <c r="F2" s="284"/>
      <c r="G2" s="88"/>
      <c r="H2" s="88"/>
      <c r="I2" s="222"/>
      <c r="J2" s="222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7"/>
      <c r="BV2" s="127"/>
      <c r="BW2" s="127"/>
      <c r="BX2" s="127"/>
      <c r="BY2" s="127"/>
      <c r="BZ2" s="127"/>
      <c r="CA2" s="127"/>
      <c r="CB2" s="127"/>
      <c r="CC2" s="127"/>
      <c r="CD2" s="127"/>
      <c r="CE2" s="127"/>
      <c r="CF2" s="127"/>
      <c r="CG2" s="127"/>
      <c r="CH2" s="127"/>
      <c r="CI2" s="127"/>
      <c r="CJ2" s="127"/>
      <c r="CK2" s="127"/>
      <c r="CL2" s="127"/>
      <c r="CM2" s="127"/>
      <c r="CN2" s="127"/>
      <c r="CO2" s="127"/>
      <c r="CP2" s="127"/>
      <c r="CQ2" s="127"/>
      <c r="CR2" s="127"/>
      <c r="CS2" s="127"/>
      <c r="CT2" s="127"/>
      <c r="CU2" s="127"/>
      <c r="CV2" s="127"/>
      <c r="CW2" s="127"/>
      <c r="CX2" s="127"/>
      <c r="CY2" s="127"/>
      <c r="CZ2" s="127"/>
      <c r="DA2" s="127"/>
      <c r="DB2" s="127"/>
      <c r="DC2" s="127"/>
      <c r="DD2" s="127"/>
      <c r="DE2" s="127"/>
      <c r="DF2" s="127"/>
      <c r="DG2" s="127"/>
      <c r="DH2" s="127"/>
      <c r="DI2" s="127"/>
      <c r="DJ2" s="127"/>
      <c r="DK2" s="127"/>
      <c r="DL2" s="127"/>
      <c r="DM2" s="127"/>
      <c r="DN2" s="127"/>
      <c r="DO2" s="127"/>
      <c r="DP2" s="127"/>
      <c r="DQ2" s="127"/>
      <c r="DR2" s="127"/>
      <c r="DS2" s="127"/>
      <c r="DT2" s="127"/>
      <c r="DU2" s="127"/>
      <c r="DV2" s="127"/>
      <c r="DW2" s="127"/>
      <c r="DX2" s="127"/>
      <c r="DY2" s="127"/>
      <c r="DZ2" s="127"/>
      <c r="EA2" s="127"/>
      <c r="EB2" s="127"/>
      <c r="EC2" s="127"/>
      <c r="ED2" s="127"/>
      <c r="EE2" s="127"/>
      <c r="EF2" s="127"/>
      <c r="EG2" s="127"/>
      <c r="EH2" s="127"/>
      <c r="EI2" s="127"/>
      <c r="EJ2" s="127"/>
      <c r="EK2" s="127"/>
      <c r="EL2" s="127"/>
      <c r="EM2" s="127"/>
      <c r="EN2" s="127"/>
      <c r="EO2" s="127"/>
      <c r="EP2" s="127"/>
      <c r="EQ2" s="127"/>
      <c r="ER2" s="127"/>
      <c r="ES2" s="127"/>
      <c r="ET2" s="127"/>
      <c r="EU2" s="127"/>
      <c r="EV2" s="127"/>
      <c r="EW2" s="127"/>
      <c r="EX2" s="127"/>
      <c r="EY2" s="127"/>
      <c r="EZ2" s="127"/>
      <c r="FA2" s="127"/>
      <c r="FB2" s="127"/>
      <c r="FC2" s="127"/>
      <c r="FD2" s="127"/>
      <c r="FE2" s="127"/>
      <c r="FF2" s="127"/>
      <c r="FG2" s="127"/>
      <c r="FH2" s="127"/>
      <c r="FI2" s="127"/>
      <c r="FJ2" s="127"/>
      <c r="FK2" s="127"/>
      <c r="FL2" s="127"/>
      <c r="FM2" s="127"/>
      <c r="FN2" s="127"/>
      <c r="FO2" s="127"/>
      <c r="FP2" s="127"/>
      <c r="FQ2" s="127"/>
      <c r="FR2" s="127"/>
      <c r="FS2" s="127"/>
      <c r="FT2" s="127"/>
      <c r="FU2" s="127"/>
      <c r="FV2" s="127"/>
      <c r="FW2" s="127"/>
      <c r="FX2" s="127"/>
      <c r="FY2" s="127"/>
      <c r="FZ2" s="127"/>
      <c r="GA2" s="127"/>
      <c r="GB2" s="127"/>
      <c r="GC2" s="127"/>
      <c r="GD2" s="127"/>
      <c r="GE2" s="127"/>
      <c r="GF2" s="127"/>
      <c r="GG2" s="127"/>
      <c r="GH2" s="127"/>
      <c r="GI2" s="127"/>
      <c r="GJ2" s="127"/>
      <c r="GK2" s="127"/>
      <c r="GL2" s="127"/>
      <c r="GM2" s="127"/>
      <c r="GN2" s="127"/>
      <c r="GO2" s="127"/>
      <c r="GP2" s="127"/>
      <c r="GQ2" s="127"/>
      <c r="GR2" s="127"/>
      <c r="GS2" s="127"/>
      <c r="GT2" s="127"/>
      <c r="GU2" s="127"/>
      <c r="GV2" s="127"/>
      <c r="GW2" s="127"/>
      <c r="GX2" s="127"/>
      <c r="GY2" s="127"/>
      <c r="GZ2" s="127"/>
      <c r="HA2" s="127"/>
      <c r="HB2" s="127"/>
      <c r="HC2" s="127"/>
      <c r="HD2" s="127"/>
      <c r="HE2" s="127"/>
      <c r="HF2" s="127"/>
      <c r="HG2" s="127"/>
      <c r="HH2" s="127"/>
      <c r="HI2" s="127"/>
      <c r="HJ2" s="127"/>
      <c r="HK2" s="127"/>
      <c r="HL2" s="127"/>
      <c r="HM2" s="127"/>
      <c r="HN2" s="127"/>
      <c r="HO2" s="127"/>
      <c r="HP2" s="127"/>
      <c r="HQ2" s="127"/>
      <c r="HR2" s="127"/>
      <c r="HS2" s="127"/>
      <c r="HT2" s="127"/>
      <c r="HU2" s="127"/>
      <c r="HV2" s="127"/>
      <c r="HW2" s="127"/>
      <c r="HX2" s="127"/>
      <c r="HY2" s="127"/>
      <c r="HZ2" s="127"/>
      <c r="IA2" s="127"/>
      <c r="IB2" s="127"/>
      <c r="IC2" s="127"/>
      <c r="ID2" s="127"/>
      <c r="IE2" s="127"/>
      <c r="IF2" s="127"/>
      <c r="IG2" s="127"/>
      <c r="IH2" s="127"/>
      <c r="II2" s="127"/>
      <c r="IJ2" s="127"/>
      <c r="IK2" s="127"/>
      <c r="IL2" s="127"/>
      <c r="IM2" s="127"/>
      <c r="IN2" s="127"/>
      <c r="IO2" s="127"/>
      <c r="IP2" s="127"/>
    </row>
    <row r="3" s="32" customFormat="1" ht="24" customHeight="1" spans="1:9">
      <c r="A3" s="39" t="s">
        <v>1</v>
      </c>
      <c r="B3" s="285" t="s">
        <v>2</v>
      </c>
      <c r="C3" s="39" t="s">
        <v>3</v>
      </c>
      <c r="D3" s="39" t="s">
        <v>4</v>
      </c>
      <c r="E3" s="286" t="s">
        <v>5</v>
      </c>
      <c r="F3" s="287" t="s">
        <v>6</v>
      </c>
      <c r="G3" s="39" t="s">
        <v>7</v>
      </c>
      <c r="H3" s="39" t="s">
        <v>8</v>
      </c>
      <c r="I3" s="39" t="s">
        <v>9</v>
      </c>
    </row>
    <row r="4" s="270" customFormat="1" customHeight="1" spans="1:10">
      <c r="A4" s="288"/>
      <c r="B4" s="289" t="s">
        <v>10</v>
      </c>
      <c r="C4" s="65" t="s">
        <v>11</v>
      </c>
      <c r="E4" s="29" t="s">
        <v>12</v>
      </c>
      <c r="F4" s="168" t="s">
        <v>13</v>
      </c>
      <c r="G4" s="148">
        <f>H4*1.7</f>
        <v>42731.2</v>
      </c>
      <c r="H4" s="290">
        <v>25136</v>
      </c>
      <c r="I4" s="279"/>
      <c r="J4" s="279"/>
    </row>
    <row r="5" s="270" customFormat="1" customHeight="1" spans="1:10">
      <c r="A5" s="288"/>
      <c r="B5" s="98" t="s">
        <v>14</v>
      </c>
      <c r="C5" s="98" t="s">
        <v>15</v>
      </c>
      <c r="D5" s="291"/>
      <c r="E5" s="21" t="s">
        <v>16</v>
      </c>
      <c r="F5" s="168" t="s">
        <v>13</v>
      </c>
      <c r="G5" s="148">
        <f t="shared" ref="G5:G68" si="0">H5*1.7</f>
        <v>38576.4</v>
      </c>
      <c r="H5" s="292">
        <v>22692</v>
      </c>
      <c r="I5" s="279"/>
      <c r="J5" s="279"/>
    </row>
    <row r="6" s="270" customFormat="1" customHeight="1" spans="1:10">
      <c r="A6" s="288"/>
      <c r="B6" s="98" t="s">
        <v>17</v>
      </c>
      <c r="C6" s="293" t="s">
        <v>18</v>
      </c>
      <c r="D6" s="291"/>
      <c r="E6" s="21" t="s">
        <v>12</v>
      </c>
      <c r="F6" s="168" t="s">
        <v>13</v>
      </c>
      <c r="G6" s="148">
        <f t="shared" si="0"/>
        <v>46427</v>
      </c>
      <c r="H6" s="294">
        <v>27310</v>
      </c>
      <c r="I6" s="279"/>
      <c r="J6" s="279"/>
    </row>
    <row r="7" s="270" customFormat="1" customHeight="1" spans="1:10">
      <c r="A7" s="288"/>
      <c r="B7" s="98" t="s">
        <v>19</v>
      </c>
      <c r="C7" s="293" t="s">
        <v>20</v>
      </c>
      <c r="D7" s="291"/>
      <c r="E7" s="21" t="s">
        <v>16</v>
      </c>
      <c r="F7" s="168" t="s">
        <v>13</v>
      </c>
      <c r="G7" s="148">
        <f t="shared" si="0"/>
        <v>42486.4</v>
      </c>
      <c r="H7" s="294">
        <v>24992</v>
      </c>
      <c r="I7" s="279"/>
      <c r="J7" s="279"/>
    </row>
    <row r="8" s="270" customFormat="1" customHeight="1" spans="1:10">
      <c r="A8" s="288"/>
      <c r="B8" s="98" t="s">
        <v>21</v>
      </c>
      <c r="C8" s="98" t="s">
        <v>22</v>
      </c>
      <c r="D8" s="291"/>
      <c r="E8" s="21" t="s">
        <v>23</v>
      </c>
      <c r="F8" s="168" t="s">
        <v>13</v>
      </c>
      <c r="G8" s="148">
        <f t="shared" si="0"/>
        <v>52120.3</v>
      </c>
      <c r="H8" s="295">
        <v>30659</v>
      </c>
      <c r="I8" s="279"/>
      <c r="J8" s="279"/>
    </row>
    <row r="9" s="270" customFormat="1" customHeight="1" spans="1:10">
      <c r="A9" s="288"/>
      <c r="B9" s="98" t="s">
        <v>24</v>
      </c>
      <c r="C9" s="98" t="s">
        <v>25</v>
      </c>
      <c r="D9" s="291"/>
      <c r="E9" s="180" t="s">
        <v>26</v>
      </c>
      <c r="F9" s="168" t="s">
        <v>13</v>
      </c>
      <c r="G9" s="148">
        <f t="shared" si="0"/>
        <v>18241</v>
      </c>
      <c r="H9" s="295">
        <v>10730</v>
      </c>
      <c r="I9" s="279"/>
      <c r="J9" s="279"/>
    </row>
    <row r="10" s="270" customFormat="1" customHeight="1" spans="1:10">
      <c r="A10" s="288"/>
      <c r="B10" s="98" t="s">
        <v>27</v>
      </c>
      <c r="C10" s="296" t="s">
        <v>28</v>
      </c>
      <c r="D10" s="291"/>
      <c r="E10" s="297" t="s">
        <v>29</v>
      </c>
      <c r="F10" s="168" t="s">
        <v>13</v>
      </c>
      <c r="G10" s="148">
        <f t="shared" si="0"/>
        <v>6252.6</v>
      </c>
      <c r="H10" s="295">
        <v>3678</v>
      </c>
      <c r="I10" s="312"/>
      <c r="J10" s="279"/>
    </row>
    <row r="11" s="270" customFormat="1" customHeight="1" spans="1:10">
      <c r="A11" s="288"/>
      <c r="B11" s="98" t="s">
        <v>30</v>
      </c>
      <c r="C11" s="98" t="s">
        <v>31</v>
      </c>
      <c r="D11" s="291"/>
      <c r="E11" s="21" t="s">
        <v>12</v>
      </c>
      <c r="F11" s="298" t="s">
        <v>32</v>
      </c>
      <c r="G11" s="148">
        <f t="shared" si="0"/>
        <v>44172.8</v>
      </c>
      <c r="H11" s="292">
        <v>25984</v>
      </c>
      <c r="I11" s="279"/>
      <c r="J11" s="279"/>
    </row>
    <row r="12" s="270" customFormat="1" customHeight="1" spans="1:10">
      <c r="A12" s="288"/>
      <c r="B12" s="98" t="s">
        <v>33</v>
      </c>
      <c r="C12" s="98" t="s">
        <v>31</v>
      </c>
      <c r="D12" s="291"/>
      <c r="E12" s="21" t="s">
        <v>16</v>
      </c>
      <c r="F12" s="298" t="s">
        <v>32</v>
      </c>
      <c r="G12" s="148">
        <f t="shared" si="0"/>
        <v>42129.4</v>
      </c>
      <c r="H12" s="292">
        <v>24782</v>
      </c>
      <c r="I12" s="279"/>
      <c r="J12" s="279"/>
    </row>
    <row r="13" s="270" customFormat="1" customHeight="1" spans="1:10">
      <c r="A13" s="288"/>
      <c r="B13" s="98" t="s">
        <v>34</v>
      </c>
      <c r="C13" s="293" t="s">
        <v>35</v>
      </c>
      <c r="D13" s="291"/>
      <c r="E13" s="21" t="s">
        <v>12</v>
      </c>
      <c r="F13" s="298" t="s">
        <v>32</v>
      </c>
      <c r="G13" s="148">
        <f t="shared" si="0"/>
        <v>50474.7</v>
      </c>
      <c r="H13" s="295">
        <v>29691</v>
      </c>
      <c r="I13" s="279"/>
      <c r="J13" s="279"/>
    </row>
    <row r="14" s="270" customFormat="1" customHeight="1" spans="1:10">
      <c r="A14" s="288"/>
      <c r="B14" s="98" t="s">
        <v>36</v>
      </c>
      <c r="C14" s="293" t="s">
        <v>18</v>
      </c>
      <c r="D14" s="291"/>
      <c r="E14" s="21" t="s">
        <v>16</v>
      </c>
      <c r="F14" s="298" t="s">
        <v>32</v>
      </c>
      <c r="G14" s="148">
        <f t="shared" si="0"/>
        <v>46687.1</v>
      </c>
      <c r="H14" s="295">
        <v>27463</v>
      </c>
      <c r="I14" s="279"/>
      <c r="J14" s="279"/>
    </row>
    <row r="15" s="270" customFormat="1" customHeight="1" spans="1:10">
      <c r="A15" s="288"/>
      <c r="B15" s="98" t="s">
        <v>37</v>
      </c>
      <c r="C15" s="98" t="s">
        <v>38</v>
      </c>
      <c r="D15" s="291"/>
      <c r="E15" s="21" t="s">
        <v>23</v>
      </c>
      <c r="F15" s="298" t="s">
        <v>32</v>
      </c>
      <c r="G15" s="148">
        <f t="shared" si="0"/>
        <v>52120.3</v>
      </c>
      <c r="H15" s="295">
        <v>30659</v>
      </c>
      <c r="I15" s="279"/>
      <c r="J15" s="279"/>
    </row>
    <row r="16" s="270" customFormat="1" customHeight="1" spans="1:10">
      <c r="A16" s="288"/>
      <c r="B16" s="98" t="s">
        <v>39</v>
      </c>
      <c r="C16" s="98" t="s">
        <v>25</v>
      </c>
      <c r="D16" s="291"/>
      <c r="E16" s="180" t="s">
        <v>26</v>
      </c>
      <c r="F16" s="298" t="s">
        <v>32</v>
      </c>
      <c r="G16" s="148">
        <f t="shared" si="0"/>
        <v>18241</v>
      </c>
      <c r="H16" s="295">
        <v>10730</v>
      </c>
      <c r="I16" s="279"/>
      <c r="J16" s="279"/>
    </row>
    <row r="17" s="270" customFormat="1" customHeight="1" spans="1:10">
      <c r="A17" s="288"/>
      <c r="B17" s="98" t="s">
        <v>40</v>
      </c>
      <c r="C17" s="98" t="s">
        <v>28</v>
      </c>
      <c r="D17" s="291"/>
      <c r="E17" s="297" t="s">
        <v>29</v>
      </c>
      <c r="F17" s="298" t="s">
        <v>32</v>
      </c>
      <c r="G17" s="148">
        <f t="shared" si="0"/>
        <v>6252.6</v>
      </c>
      <c r="H17" s="295">
        <v>3678</v>
      </c>
      <c r="I17" s="279"/>
      <c r="J17" s="279"/>
    </row>
    <row r="18" s="270" customFormat="1" customHeight="1" spans="1:10">
      <c r="A18" s="288"/>
      <c r="B18" s="98" t="s">
        <v>41</v>
      </c>
      <c r="C18" s="98" t="s">
        <v>42</v>
      </c>
      <c r="D18" s="291"/>
      <c r="E18" s="21" t="s">
        <v>12</v>
      </c>
      <c r="F18" s="298" t="s">
        <v>43</v>
      </c>
      <c r="G18" s="148">
        <f t="shared" si="0"/>
        <v>32645.1</v>
      </c>
      <c r="H18" s="295">
        <v>19203</v>
      </c>
      <c r="I18" s="279"/>
      <c r="J18" s="279"/>
    </row>
    <row r="19" s="270" customFormat="1" customHeight="1" spans="1:10">
      <c r="A19" s="288"/>
      <c r="B19" s="98" t="s">
        <v>44</v>
      </c>
      <c r="C19" s="98" t="s">
        <v>45</v>
      </c>
      <c r="D19" s="291"/>
      <c r="E19" s="21" t="s">
        <v>16</v>
      </c>
      <c r="F19" s="298" t="s">
        <v>43</v>
      </c>
      <c r="G19" s="148">
        <f t="shared" si="0"/>
        <v>29923.4</v>
      </c>
      <c r="H19" s="295">
        <v>17602</v>
      </c>
      <c r="I19" s="279"/>
      <c r="J19" s="279"/>
    </row>
    <row r="20" s="270" customFormat="1" customHeight="1" spans="1:10">
      <c r="A20" s="288"/>
      <c r="B20" s="98" t="s">
        <v>46</v>
      </c>
      <c r="C20" s="98" t="s">
        <v>47</v>
      </c>
      <c r="D20" s="291"/>
      <c r="E20" s="21" t="s">
        <v>48</v>
      </c>
      <c r="F20" s="298" t="s">
        <v>43</v>
      </c>
      <c r="G20" s="148">
        <f t="shared" si="0"/>
        <v>20464.6</v>
      </c>
      <c r="H20" s="295">
        <v>12038</v>
      </c>
      <c r="I20" s="279"/>
      <c r="J20" s="279"/>
    </row>
    <row r="21" s="270" customFormat="1" customHeight="1" spans="1:10">
      <c r="A21" s="288"/>
      <c r="B21" s="98" t="s">
        <v>49</v>
      </c>
      <c r="C21" s="98" t="s">
        <v>50</v>
      </c>
      <c r="D21" s="291"/>
      <c r="E21" s="21" t="s">
        <v>51</v>
      </c>
      <c r="F21" s="298" t="s">
        <v>43</v>
      </c>
      <c r="G21" s="148">
        <f t="shared" si="0"/>
        <v>29195.8</v>
      </c>
      <c r="H21" s="295">
        <v>17174</v>
      </c>
      <c r="I21" s="279"/>
      <c r="J21" s="279"/>
    </row>
    <row r="22" s="270" customFormat="1" customHeight="1" spans="1:10">
      <c r="A22" s="288"/>
      <c r="B22" s="98" t="s">
        <v>52</v>
      </c>
      <c r="C22" s="98" t="s">
        <v>53</v>
      </c>
      <c r="D22" s="291"/>
      <c r="E22" s="21" t="s">
        <v>54</v>
      </c>
      <c r="F22" s="298" t="s">
        <v>43</v>
      </c>
      <c r="G22" s="148">
        <f t="shared" si="0"/>
        <v>14660.8</v>
      </c>
      <c r="H22" s="295">
        <v>8624</v>
      </c>
      <c r="I22" s="279"/>
      <c r="J22" s="279"/>
    </row>
    <row r="23" s="270" customFormat="1" ht="15" customHeight="1" spans="1:10">
      <c r="A23" s="288"/>
      <c r="B23" s="98" t="s">
        <v>55</v>
      </c>
      <c r="C23" s="98" t="s">
        <v>56</v>
      </c>
      <c r="D23" s="291"/>
      <c r="E23" s="21" t="s">
        <v>29</v>
      </c>
      <c r="F23" s="298" t="s">
        <v>43</v>
      </c>
      <c r="G23" s="148">
        <f t="shared" si="0"/>
        <v>3471.4</v>
      </c>
      <c r="H23" s="295">
        <v>2042</v>
      </c>
      <c r="I23" s="279"/>
      <c r="J23" s="279"/>
    </row>
    <row r="24" customFormat="1" customHeight="1" spans="1:10">
      <c r="A24" s="288"/>
      <c r="B24" s="98" t="s">
        <v>57</v>
      </c>
      <c r="C24" s="293" t="s">
        <v>58</v>
      </c>
      <c r="D24" s="299"/>
      <c r="E24" s="189" t="s">
        <v>12</v>
      </c>
      <c r="F24" s="298" t="s">
        <v>59</v>
      </c>
      <c r="G24" s="148">
        <f t="shared" si="0"/>
        <v>38613.8</v>
      </c>
      <c r="H24" s="295">
        <v>22714</v>
      </c>
      <c r="I24" s="275"/>
      <c r="J24" s="275"/>
    </row>
    <row r="25" customFormat="1" customHeight="1" spans="1:10">
      <c r="A25" s="288"/>
      <c r="B25" s="98" t="s">
        <v>60</v>
      </c>
      <c r="C25" s="293" t="s">
        <v>58</v>
      </c>
      <c r="D25" s="299"/>
      <c r="E25" s="189" t="s">
        <v>16</v>
      </c>
      <c r="F25" s="298" t="s">
        <v>59</v>
      </c>
      <c r="G25" s="148">
        <f t="shared" si="0"/>
        <v>36242.3</v>
      </c>
      <c r="H25" s="292">
        <v>21319</v>
      </c>
      <c r="I25" s="275"/>
      <c r="J25" s="275"/>
    </row>
    <row r="26" customFormat="1" customHeight="1" spans="1:10">
      <c r="A26" s="288"/>
      <c r="B26" s="98" t="s">
        <v>61</v>
      </c>
      <c r="C26" s="98" t="s">
        <v>62</v>
      </c>
      <c r="D26" s="299"/>
      <c r="E26" s="180" t="s">
        <v>63</v>
      </c>
      <c r="F26" s="298" t="s">
        <v>59</v>
      </c>
      <c r="G26" s="148">
        <f t="shared" si="0"/>
        <v>48351.4</v>
      </c>
      <c r="H26" s="295">
        <v>28442</v>
      </c>
      <c r="I26" s="275"/>
      <c r="J26" s="275"/>
    </row>
    <row r="27" s="271" customFormat="1" customHeight="1" spans="1:10">
      <c r="A27" s="288"/>
      <c r="B27" s="98" t="s">
        <v>64</v>
      </c>
      <c r="C27" s="98" t="s">
        <v>65</v>
      </c>
      <c r="D27" s="300"/>
      <c r="E27" s="180" t="s">
        <v>66</v>
      </c>
      <c r="F27" s="298" t="s">
        <v>59</v>
      </c>
      <c r="G27" s="148">
        <f t="shared" si="0"/>
        <v>15561.8</v>
      </c>
      <c r="H27" s="295">
        <v>9154</v>
      </c>
      <c r="I27" s="279"/>
      <c r="J27" s="279"/>
    </row>
    <row r="28" s="271" customFormat="1" customHeight="1" spans="1:10">
      <c r="A28" s="288"/>
      <c r="B28" s="98" t="s">
        <v>67</v>
      </c>
      <c r="C28" s="98" t="s">
        <v>68</v>
      </c>
      <c r="D28" s="300"/>
      <c r="E28" s="180" t="s">
        <v>69</v>
      </c>
      <c r="F28" s="298" t="s">
        <v>59</v>
      </c>
      <c r="G28" s="148">
        <f t="shared" si="0"/>
        <v>4338.4</v>
      </c>
      <c r="H28" s="295">
        <v>2552</v>
      </c>
      <c r="I28" s="279"/>
      <c r="J28" s="279"/>
    </row>
    <row r="29" s="270" customFormat="1" customHeight="1" spans="1:10">
      <c r="A29" s="288"/>
      <c r="B29" s="98" t="s">
        <v>70</v>
      </c>
      <c r="C29" s="293" t="s">
        <v>58</v>
      </c>
      <c r="D29" s="291"/>
      <c r="E29" s="189" t="s">
        <v>12</v>
      </c>
      <c r="F29" s="298" t="s">
        <v>71</v>
      </c>
      <c r="G29" s="148">
        <f t="shared" si="0"/>
        <v>37345.6</v>
      </c>
      <c r="H29" s="295">
        <v>21968</v>
      </c>
      <c r="I29" s="279"/>
      <c r="J29" s="279"/>
    </row>
    <row r="30" s="270" customFormat="1" customHeight="1" spans="1:10">
      <c r="A30" s="288"/>
      <c r="B30" s="98" t="s">
        <v>72</v>
      </c>
      <c r="C30" s="293" t="s">
        <v>58</v>
      </c>
      <c r="D30" s="291"/>
      <c r="E30" s="189" t="s">
        <v>16</v>
      </c>
      <c r="F30" s="298" t="s">
        <v>71</v>
      </c>
      <c r="G30" s="148">
        <f t="shared" si="0"/>
        <v>32128.3</v>
      </c>
      <c r="H30" s="294">
        <v>18899</v>
      </c>
      <c r="I30" s="279"/>
      <c r="J30" s="279"/>
    </row>
    <row r="31" s="270" customFormat="1" customHeight="1" spans="1:10">
      <c r="A31" s="288"/>
      <c r="B31" s="98" t="s">
        <v>73</v>
      </c>
      <c r="C31" s="98" t="s">
        <v>74</v>
      </c>
      <c r="D31" s="291"/>
      <c r="E31" s="180" t="s">
        <v>75</v>
      </c>
      <c r="F31" s="298" t="s">
        <v>71</v>
      </c>
      <c r="G31" s="148">
        <f t="shared" si="0"/>
        <v>58126.4</v>
      </c>
      <c r="H31" s="295">
        <v>34192</v>
      </c>
      <c r="I31" s="279"/>
      <c r="J31" s="279"/>
    </row>
    <row r="32" s="270" customFormat="1" customHeight="1" spans="1:10">
      <c r="A32" s="288"/>
      <c r="B32" s="98" t="s">
        <v>76</v>
      </c>
      <c r="C32" s="98" t="s">
        <v>65</v>
      </c>
      <c r="D32" s="291"/>
      <c r="E32" s="180" t="s">
        <v>77</v>
      </c>
      <c r="F32" s="298" t="s">
        <v>71</v>
      </c>
      <c r="G32" s="148">
        <f t="shared" si="0"/>
        <v>10614.8</v>
      </c>
      <c r="H32" s="295">
        <v>6244</v>
      </c>
      <c r="I32" s="279"/>
      <c r="J32" s="279"/>
    </row>
    <row r="33" s="270" customFormat="1" customHeight="1" spans="1:10">
      <c r="A33" s="288"/>
      <c r="B33" s="98" t="s">
        <v>78</v>
      </c>
      <c r="C33" s="98" t="s">
        <v>79</v>
      </c>
      <c r="D33" s="291"/>
      <c r="E33" s="180" t="s">
        <v>80</v>
      </c>
      <c r="F33" s="298" t="s">
        <v>71</v>
      </c>
      <c r="G33" s="148">
        <f t="shared" si="0"/>
        <v>4875.6</v>
      </c>
      <c r="H33" s="295">
        <v>2868</v>
      </c>
      <c r="I33" s="279"/>
      <c r="J33" s="279"/>
    </row>
    <row r="34" s="270" customFormat="1" customHeight="1" spans="1:10">
      <c r="A34" s="288"/>
      <c r="B34" s="98" t="s">
        <v>81</v>
      </c>
      <c r="C34" s="293" t="s">
        <v>82</v>
      </c>
      <c r="D34" s="291"/>
      <c r="E34" s="189" t="s">
        <v>12</v>
      </c>
      <c r="F34" s="298" t="s">
        <v>83</v>
      </c>
      <c r="G34" s="148">
        <f t="shared" si="0"/>
        <v>36121.6</v>
      </c>
      <c r="H34" s="294">
        <v>21248</v>
      </c>
      <c r="I34" s="279"/>
      <c r="J34" s="279"/>
    </row>
    <row r="35" s="270" customFormat="1" customHeight="1" spans="1:10">
      <c r="A35" s="288"/>
      <c r="B35" s="98" t="s">
        <v>84</v>
      </c>
      <c r="C35" s="293" t="s">
        <v>82</v>
      </c>
      <c r="D35" s="291"/>
      <c r="E35" s="189" t="s">
        <v>16</v>
      </c>
      <c r="F35" s="298" t="s">
        <v>83</v>
      </c>
      <c r="G35" s="148">
        <f t="shared" si="0"/>
        <v>32504</v>
      </c>
      <c r="H35" s="294">
        <v>19120</v>
      </c>
      <c r="I35" s="279"/>
      <c r="J35" s="279"/>
    </row>
    <row r="36" s="270" customFormat="1" spans="1:10">
      <c r="A36" s="288"/>
      <c r="B36" s="98" t="s">
        <v>85</v>
      </c>
      <c r="C36" s="98" t="s">
        <v>74</v>
      </c>
      <c r="D36" s="291"/>
      <c r="E36" s="180" t="s">
        <v>86</v>
      </c>
      <c r="F36" s="298" t="s">
        <v>83</v>
      </c>
      <c r="G36" s="148">
        <f t="shared" si="0"/>
        <v>51676.6</v>
      </c>
      <c r="H36" s="294">
        <v>30398</v>
      </c>
      <c r="I36" s="279"/>
      <c r="J36" s="279"/>
    </row>
    <row r="37" s="270" customFormat="1" spans="1:10">
      <c r="A37" s="288"/>
      <c r="B37" s="98" t="s">
        <v>87</v>
      </c>
      <c r="C37" s="98" t="s">
        <v>65</v>
      </c>
      <c r="D37" s="291"/>
      <c r="E37" s="180" t="s">
        <v>54</v>
      </c>
      <c r="F37" s="298" t="s">
        <v>83</v>
      </c>
      <c r="G37" s="148">
        <f t="shared" si="0"/>
        <v>13720.7</v>
      </c>
      <c r="H37" s="294">
        <v>8071</v>
      </c>
      <c r="I37" s="279"/>
      <c r="J37" s="279"/>
    </row>
    <row r="38" s="270" customFormat="1" spans="1:10">
      <c r="A38" s="288"/>
      <c r="B38" s="98" t="s">
        <v>88</v>
      </c>
      <c r="C38" s="98" t="s">
        <v>89</v>
      </c>
      <c r="D38" s="291"/>
      <c r="E38" s="180" t="s">
        <v>29</v>
      </c>
      <c r="F38" s="298" t="s">
        <v>83</v>
      </c>
      <c r="G38" s="148">
        <f t="shared" si="0"/>
        <v>3044.7</v>
      </c>
      <c r="H38" s="294">
        <v>1791</v>
      </c>
      <c r="I38" s="279"/>
      <c r="J38" s="279"/>
    </row>
    <row r="39" s="270" customFormat="1" spans="1:10">
      <c r="A39" s="288"/>
      <c r="B39" s="98" t="s">
        <v>90</v>
      </c>
      <c r="C39" s="98" t="s">
        <v>42</v>
      </c>
      <c r="D39" s="291"/>
      <c r="E39" s="301" t="s">
        <v>12</v>
      </c>
      <c r="F39" s="298" t="s">
        <v>91</v>
      </c>
      <c r="G39" s="148">
        <f t="shared" si="0"/>
        <v>30671.4</v>
      </c>
      <c r="H39" s="302">
        <v>18042</v>
      </c>
      <c r="I39" s="279"/>
      <c r="J39" s="279"/>
    </row>
    <row r="40" s="270" customFormat="1" spans="1:10">
      <c r="A40" s="288"/>
      <c r="B40" s="98" t="s">
        <v>92</v>
      </c>
      <c r="C40" s="98" t="s">
        <v>45</v>
      </c>
      <c r="D40" s="291"/>
      <c r="E40" s="189" t="s">
        <v>16</v>
      </c>
      <c r="F40" s="298" t="s">
        <v>91</v>
      </c>
      <c r="G40" s="148">
        <f t="shared" si="0"/>
        <v>27550.2</v>
      </c>
      <c r="H40" s="294">
        <v>16206</v>
      </c>
      <c r="I40" s="279"/>
      <c r="J40" s="279"/>
    </row>
    <row r="41" s="270" customFormat="1" spans="1:10">
      <c r="A41" s="288"/>
      <c r="B41" s="98" t="s">
        <v>93</v>
      </c>
      <c r="C41" s="98" t="s">
        <v>94</v>
      </c>
      <c r="D41" s="291"/>
      <c r="E41" s="180" t="s">
        <v>51</v>
      </c>
      <c r="F41" s="298" t="s">
        <v>91</v>
      </c>
      <c r="G41" s="148">
        <f t="shared" si="0"/>
        <v>28311.8</v>
      </c>
      <c r="H41" s="294">
        <v>16654</v>
      </c>
      <c r="I41" s="279"/>
      <c r="J41" s="279"/>
    </row>
    <row r="42" s="270" customFormat="1" spans="1:10">
      <c r="A42" s="288"/>
      <c r="B42" s="98" t="s">
        <v>95</v>
      </c>
      <c r="C42" s="98" t="s">
        <v>96</v>
      </c>
      <c r="D42" s="291"/>
      <c r="E42" s="180" t="s">
        <v>48</v>
      </c>
      <c r="F42" s="298" t="s">
        <v>91</v>
      </c>
      <c r="G42" s="148">
        <f t="shared" si="0"/>
        <v>19992</v>
      </c>
      <c r="H42" s="294">
        <v>11760</v>
      </c>
      <c r="I42" s="279"/>
      <c r="J42" s="279"/>
    </row>
    <row r="43" s="270" customFormat="1" spans="1:10">
      <c r="A43" s="288"/>
      <c r="B43" s="98" t="s">
        <v>97</v>
      </c>
      <c r="C43" s="98" t="s">
        <v>98</v>
      </c>
      <c r="D43" s="291"/>
      <c r="E43" s="180" t="s">
        <v>99</v>
      </c>
      <c r="F43" s="298" t="s">
        <v>91</v>
      </c>
      <c r="G43" s="148">
        <f t="shared" si="0"/>
        <v>11488.6</v>
      </c>
      <c r="H43" s="302">
        <v>6758</v>
      </c>
      <c r="I43" s="279"/>
      <c r="J43" s="279"/>
    </row>
    <row r="44" s="270" customFormat="1" spans="1:10">
      <c r="A44" s="288"/>
      <c r="B44" s="98" t="s">
        <v>100</v>
      </c>
      <c r="C44" s="98" t="s">
        <v>101</v>
      </c>
      <c r="D44" s="291"/>
      <c r="E44" s="180" t="s">
        <v>29</v>
      </c>
      <c r="F44" s="298" t="s">
        <v>91</v>
      </c>
      <c r="G44" s="148">
        <f t="shared" si="0"/>
        <v>3434</v>
      </c>
      <c r="H44" s="302">
        <v>2020</v>
      </c>
      <c r="I44" s="279"/>
      <c r="J44" s="279"/>
    </row>
    <row r="45" s="270" customFormat="1" spans="1:10">
      <c r="A45" s="288"/>
      <c r="B45" s="98" t="s">
        <v>102</v>
      </c>
      <c r="C45" s="293" t="s">
        <v>103</v>
      </c>
      <c r="D45" s="291"/>
      <c r="E45" s="189" t="s">
        <v>12</v>
      </c>
      <c r="F45" s="298" t="s">
        <v>104</v>
      </c>
      <c r="G45" s="148">
        <f t="shared" si="0"/>
        <v>34664.7</v>
      </c>
      <c r="H45" s="303">
        <v>20391</v>
      </c>
      <c r="I45" s="279"/>
      <c r="J45" s="279"/>
    </row>
    <row r="46" s="270" customFormat="1" spans="1:10">
      <c r="A46" s="288"/>
      <c r="B46" s="98" t="s">
        <v>105</v>
      </c>
      <c r="C46" s="293" t="s">
        <v>103</v>
      </c>
      <c r="D46" s="291"/>
      <c r="E46" s="189" t="s">
        <v>16</v>
      </c>
      <c r="F46" s="298" t="s">
        <v>104</v>
      </c>
      <c r="G46" s="148">
        <f t="shared" si="0"/>
        <v>31892</v>
      </c>
      <c r="H46" s="295">
        <v>18760</v>
      </c>
      <c r="I46" s="279"/>
      <c r="J46" s="279"/>
    </row>
    <row r="47" s="270" customFormat="1" spans="1:10">
      <c r="A47" s="288"/>
      <c r="B47" s="98" t="s">
        <v>106</v>
      </c>
      <c r="C47" s="98" t="s">
        <v>107</v>
      </c>
      <c r="D47" s="291"/>
      <c r="E47" s="304" t="s">
        <v>108</v>
      </c>
      <c r="F47" s="298" t="s">
        <v>104</v>
      </c>
      <c r="G47" s="148">
        <f t="shared" si="0"/>
        <v>30596.6</v>
      </c>
      <c r="H47" s="295">
        <v>17998</v>
      </c>
      <c r="I47" s="279"/>
      <c r="J47" s="279"/>
    </row>
    <row r="48" s="270" customFormat="1" spans="1:10">
      <c r="A48" s="288"/>
      <c r="B48" s="98" t="s">
        <v>109</v>
      </c>
      <c r="C48" s="98" t="s">
        <v>110</v>
      </c>
      <c r="D48" s="291"/>
      <c r="E48" s="305" t="s">
        <v>111</v>
      </c>
      <c r="F48" s="298" t="s">
        <v>104</v>
      </c>
      <c r="G48" s="148">
        <f t="shared" si="0"/>
        <v>23613</v>
      </c>
      <c r="H48" s="306">
        <v>13890</v>
      </c>
      <c r="I48" s="279"/>
      <c r="J48" s="279"/>
    </row>
    <row r="49" s="270" customFormat="1" spans="1:10">
      <c r="A49" s="288"/>
      <c r="B49" s="98" t="s">
        <v>112</v>
      </c>
      <c r="C49" s="98" t="s">
        <v>113</v>
      </c>
      <c r="D49" s="291"/>
      <c r="E49" s="307" t="s">
        <v>114</v>
      </c>
      <c r="F49" s="298" t="s">
        <v>104</v>
      </c>
      <c r="G49" s="148">
        <f t="shared" si="0"/>
        <v>13958.7</v>
      </c>
      <c r="H49" s="295">
        <v>8211</v>
      </c>
      <c r="I49" s="279"/>
      <c r="J49" s="279"/>
    </row>
    <row r="50" s="270" customFormat="1" spans="1:10">
      <c r="A50" s="288"/>
      <c r="B50" s="98" t="s">
        <v>115</v>
      </c>
      <c r="C50" s="98" t="s">
        <v>116</v>
      </c>
      <c r="D50" s="291"/>
      <c r="E50" s="180" t="s">
        <v>117</v>
      </c>
      <c r="F50" s="298" t="s">
        <v>104</v>
      </c>
      <c r="G50" s="148">
        <f t="shared" si="0"/>
        <v>4025.6</v>
      </c>
      <c r="H50" s="295">
        <v>2368</v>
      </c>
      <c r="I50" s="279"/>
      <c r="J50" s="279"/>
    </row>
    <row r="51" s="270" customFormat="1" spans="1:10">
      <c r="A51" s="288"/>
      <c r="B51" s="98" t="s">
        <v>118</v>
      </c>
      <c r="C51" s="298" t="s">
        <v>119</v>
      </c>
      <c r="D51" s="291"/>
      <c r="E51" s="308" t="s">
        <v>120</v>
      </c>
      <c r="F51" s="298" t="s">
        <v>121</v>
      </c>
      <c r="G51" s="148">
        <f t="shared" si="0"/>
        <v>16636.2</v>
      </c>
      <c r="H51" s="266">
        <v>9786</v>
      </c>
      <c r="I51" s="279"/>
      <c r="J51" s="279"/>
    </row>
    <row r="52" s="270" customFormat="1" spans="1:10">
      <c r="A52" s="288"/>
      <c r="B52" s="98" t="s">
        <v>122</v>
      </c>
      <c r="C52" s="98" t="s">
        <v>123</v>
      </c>
      <c r="D52" s="291"/>
      <c r="E52" s="21" t="s">
        <v>124</v>
      </c>
      <c r="F52" s="298" t="s">
        <v>121</v>
      </c>
      <c r="G52" s="148">
        <f t="shared" si="0"/>
        <v>42676.8</v>
      </c>
      <c r="H52" s="309">
        <v>25104</v>
      </c>
      <c r="I52" s="279"/>
      <c r="J52" s="279"/>
    </row>
    <row r="53" s="270" customFormat="1" spans="1:10">
      <c r="A53" s="288"/>
      <c r="B53" s="98" t="s">
        <v>125</v>
      </c>
      <c r="C53" s="98" t="s">
        <v>123</v>
      </c>
      <c r="D53" s="291"/>
      <c r="E53" s="21" t="s">
        <v>126</v>
      </c>
      <c r="F53" s="298" t="s">
        <v>121</v>
      </c>
      <c r="G53" s="148">
        <f t="shared" si="0"/>
        <v>38722.6</v>
      </c>
      <c r="H53" s="309">
        <v>22778</v>
      </c>
      <c r="I53" s="279"/>
      <c r="J53" s="279"/>
    </row>
    <row r="54" s="270" customFormat="1" spans="1:10">
      <c r="A54" s="288"/>
      <c r="B54" s="98" t="s">
        <v>127</v>
      </c>
      <c r="C54" s="98" t="s">
        <v>128</v>
      </c>
      <c r="D54" s="291"/>
      <c r="E54" s="21" t="s">
        <v>129</v>
      </c>
      <c r="F54" s="298" t="s">
        <v>121</v>
      </c>
      <c r="G54" s="148">
        <f t="shared" si="0"/>
        <v>38409.8</v>
      </c>
      <c r="H54" s="309">
        <v>22594</v>
      </c>
      <c r="I54" s="279"/>
      <c r="J54" s="279"/>
    </row>
    <row r="55" s="270" customFormat="1" spans="1:10">
      <c r="A55" s="288"/>
      <c r="B55" s="98" t="s">
        <v>130</v>
      </c>
      <c r="C55" s="98" t="s">
        <v>128</v>
      </c>
      <c r="D55" s="291"/>
      <c r="E55" s="21" t="s">
        <v>131</v>
      </c>
      <c r="F55" s="298" t="s">
        <v>121</v>
      </c>
      <c r="G55" s="148">
        <f t="shared" si="0"/>
        <v>34306</v>
      </c>
      <c r="H55" s="309">
        <v>20180</v>
      </c>
      <c r="I55" s="279"/>
      <c r="J55" s="279"/>
    </row>
    <row r="56" s="270" customFormat="1" spans="1:10">
      <c r="A56" s="288"/>
      <c r="B56" s="98" t="s">
        <v>132</v>
      </c>
      <c r="C56" s="293" t="s">
        <v>133</v>
      </c>
      <c r="D56" s="291"/>
      <c r="E56" s="21" t="s">
        <v>134</v>
      </c>
      <c r="F56" s="298" t="s">
        <v>121</v>
      </c>
      <c r="G56" s="148">
        <f t="shared" si="0"/>
        <v>24956</v>
      </c>
      <c r="H56" s="309">
        <v>14680</v>
      </c>
      <c r="I56" s="279"/>
      <c r="J56" s="279"/>
    </row>
    <row r="57" s="271" customFormat="1" spans="1:10">
      <c r="A57" s="288"/>
      <c r="B57" s="98" t="s">
        <v>135</v>
      </c>
      <c r="C57" s="98" t="s">
        <v>136</v>
      </c>
      <c r="D57" s="300"/>
      <c r="E57" s="21" t="s">
        <v>137</v>
      </c>
      <c r="F57" s="298" t="s">
        <v>121</v>
      </c>
      <c r="G57" s="148">
        <f t="shared" si="0"/>
        <v>11961.2</v>
      </c>
      <c r="H57" s="309">
        <v>7036</v>
      </c>
      <c r="I57" s="279"/>
      <c r="J57" s="279"/>
    </row>
    <row r="58" s="271" customFormat="1" spans="1:10">
      <c r="A58" s="288"/>
      <c r="B58" s="98" t="s">
        <v>138</v>
      </c>
      <c r="C58" s="98" t="s">
        <v>139</v>
      </c>
      <c r="D58" s="300"/>
      <c r="E58" s="21" t="s">
        <v>140</v>
      </c>
      <c r="F58" s="298" t="s">
        <v>121</v>
      </c>
      <c r="G58" s="148">
        <f t="shared" si="0"/>
        <v>5744.3</v>
      </c>
      <c r="H58" s="309">
        <v>3379</v>
      </c>
      <c r="I58" s="279"/>
      <c r="J58" s="279"/>
    </row>
    <row r="59" s="271" customFormat="1" spans="1:10">
      <c r="A59" s="288"/>
      <c r="B59" s="98" t="s">
        <v>141</v>
      </c>
      <c r="C59" s="98" t="s">
        <v>142</v>
      </c>
      <c r="D59" s="300"/>
      <c r="E59" s="21" t="s">
        <v>143</v>
      </c>
      <c r="F59" s="298" t="s">
        <v>121</v>
      </c>
      <c r="G59" s="148">
        <f t="shared" si="0"/>
        <v>14671</v>
      </c>
      <c r="H59" s="309">
        <v>8630</v>
      </c>
      <c r="I59" s="279"/>
      <c r="J59" s="279"/>
    </row>
    <row r="60" s="271" customFormat="1" spans="1:10">
      <c r="A60" s="288"/>
      <c r="B60" s="98" t="s">
        <v>144</v>
      </c>
      <c r="C60" s="98" t="s">
        <v>123</v>
      </c>
      <c r="D60" s="300"/>
      <c r="E60" s="310" t="s">
        <v>126</v>
      </c>
      <c r="F60" s="298" t="s">
        <v>145</v>
      </c>
      <c r="G60" s="148">
        <f t="shared" si="0"/>
        <v>35557.2</v>
      </c>
      <c r="H60" s="309">
        <v>20916</v>
      </c>
      <c r="I60" s="279"/>
      <c r="J60" s="279"/>
    </row>
    <row r="61" s="271" customFormat="1" spans="1:10">
      <c r="A61" s="288"/>
      <c r="B61" s="98" t="s">
        <v>146</v>
      </c>
      <c r="C61" s="98" t="s">
        <v>123</v>
      </c>
      <c r="D61" s="300"/>
      <c r="E61" s="310" t="s">
        <v>147</v>
      </c>
      <c r="F61" s="298" t="s">
        <v>145</v>
      </c>
      <c r="G61" s="148">
        <f t="shared" si="0"/>
        <v>39649.1</v>
      </c>
      <c r="H61" s="309">
        <v>23323</v>
      </c>
      <c r="I61" s="279"/>
      <c r="J61" s="279"/>
    </row>
    <row r="62" s="271" customFormat="1" spans="1:10">
      <c r="A62" s="288"/>
      <c r="B62" s="311" t="s">
        <v>148</v>
      </c>
      <c r="C62" s="293" t="s">
        <v>149</v>
      </c>
      <c r="D62" s="300"/>
      <c r="E62" s="310" t="s">
        <v>150</v>
      </c>
      <c r="F62" s="298" t="s">
        <v>145</v>
      </c>
      <c r="G62" s="148">
        <f t="shared" si="0"/>
        <v>41689.1</v>
      </c>
      <c r="H62" s="309">
        <v>24523</v>
      </c>
      <c r="I62" s="279"/>
      <c r="J62" s="279"/>
    </row>
    <row r="63" s="271" customFormat="1" spans="1:10">
      <c r="A63" s="288"/>
      <c r="B63" s="98" t="s">
        <v>151</v>
      </c>
      <c r="C63" s="98" t="s">
        <v>136</v>
      </c>
      <c r="D63" s="300"/>
      <c r="E63" s="310" t="s">
        <v>152</v>
      </c>
      <c r="F63" s="298" t="s">
        <v>145</v>
      </c>
      <c r="G63" s="148">
        <f t="shared" si="0"/>
        <v>9282</v>
      </c>
      <c r="H63" s="309">
        <v>5460</v>
      </c>
      <c r="I63" s="279"/>
      <c r="J63" s="279"/>
    </row>
    <row r="64" s="271" customFormat="1" spans="1:10">
      <c r="A64" s="288"/>
      <c r="B64" s="98" t="s">
        <v>153</v>
      </c>
      <c r="C64" s="98" t="s">
        <v>139</v>
      </c>
      <c r="D64" s="300"/>
      <c r="E64" s="310" t="s">
        <v>154</v>
      </c>
      <c r="F64" s="298" t="s">
        <v>145</v>
      </c>
      <c r="G64" s="148">
        <f t="shared" si="0"/>
        <v>4180.3</v>
      </c>
      <c r="H64" s="309">
        <v>2459</v>
      </c>
      <c r="I64" s="279"/>
      <c r="J64" s="279"/>
    </row>
    <row r="65" s="270" customFormat="1" spans="1:10">
      <c r="A65" s="288"/>
      <c r="B65" s="98" t="s">
        <v>155</v>
      </c>
      <c r="C65" s="98" t="s">
        <v>123</v>
      </c>
      <c r="D65" s="291"/>
      <c r="E65" s="21" t="s">
        <v>126</v>
      </c>
      <c r="F65" s="313" t="s">
        <v>156</v>
      </c>
      <c r="G65" s="148">
        <f t="shared" si="0"/>
        <v>34023.8</v>
      </c>
      <c r="H65" s="309">
        <v>20014</v>
      </c>
      <c r="I65" s="279"/>
      <c r="J65" s="279"/>
    </row>
    <row r="66" s="270" customFormat="1" spans="1:10">
      <c r="A66" s="288"/>
      <c r="B66" s="98" t="s">
        <v>157</v>
      </c>
      <c r="C66" s="98" t="s">
        <v>123</v>
      </c>
      <c r="D66" s="291"/>
      <c r="E66" s="21" t="s">
        <v>147</v>
      </c>
      <c r="F66" s="313" t="s">
        <v>156</v>
      </c>
      <c r="G66" s="148">
        <f t="shared" si="0"/>
        <v>38301</v>
      </c>
      <c r="H66" s="309">
        <v>22530</v>
      </c>
      <c r="I66" s="279"/>
      <c r="J66" s="279"/>
    </row>
    <row r="67" s="270" customFormat="1" spans="1:10">
      <c r="A67" s="288"/>
      <c r="B67" s="314" t="s">
        <v>158</v>
      </c>
      <c r="C67" s="98" t="s">
        <v>159</v>
      </c>
      <c r="D67" s="291"/>
      <c r="E67" s="315" t="s">
        <v>160</v>
      </c>
      <c r="F67" s="313" t="s">
        <v>156</v>
      </c>
      <c r="G67" s="148">
        <f t="shared" si="0"/>
        <v>58221.6</v>
      </c>
      <c r="H67" s="309">
        <v>34248</v>
      </c>
      <c r="I67" s="279"/>
      <c r="J67" s="279"/>
    </row>
    <row r="68" s="270" customFormat="1" spans="1:10">
      <c r="A68" s="288"/>
      <c r="B68" s="98" t="s">
        <v>161</v>
      </c>
      <c r="C68" s="98" t="s">
        <v>136</v>
      </c>
      <c r="D68" s="291"/>
      <c r="E68" s="21" t="s">
        <v>162</v>
      </c>
      <c r="F68" s="313" t="s">
        <v>156</v>
      </c>
      <c r="G68" s="148">
        <f t="shared" si="0"/>
        <v>13090</v>
      </c>
      <c r="H68" s="309">
        <v>7700</v>
      </c>
      <c r="I68" s="279"/>
      <c r="J68" s="279"/>
    </row>
    <row r="69" s="270" customFormat="1" spans="1:10">
      <c r="A69" s="288"/>
      <c r="B69" s="98" t="s">
        <v>163</v>
      </c>
      <c r="C69" s="98" t="s">
        <v>139</v>
      </c>
      <c r="D69" s="291"/>
      <c r="E69" s="21" t="s">
        <v>164</v>
      </c>
      <c r="F69" s="313" t="s">
        <v>156</v>
      </c>
      <c r="G69" s="148">
        <f t="shared" ref="G69:G132" si="1">H69*1.7</f>
        <v>4608.7</v>
      </c>
      <c r="H69" s="309">
        <v>2711</v>
      </c>
      <c r="I69" s="279"/>
      <c r="J69" s="279"/>
    </row>
    <row r="70" s="270" customFormat="1" spans="1:10">
      <c r="A70" s="288"/>
      <c r="B70" s="293" t="s">
        <v>165</v>
      </c>
      <c r="C70" s="293" t="s">
        <v>123</v>
      </c>
      <c r="D70" s="291"/>
      <c r="E70" s="21" t="s">
        <v>166</v>
      </c>
      <c r="F70" s="316" t="s">
        <v>167</v>
      </c>
      <c r="G70" s="148">
        <f t="shared" si="1"/>
        <v>43322.8</v>
      </c>
      <c r="H70" s="309">
        <v>25484</v>
      </c>
      <c r="I70" s="279"/>
      <c r="J70" s="279"/>
    </row>
    <row r="71" s="270" customFormat="1" spans="1:10">
      <c r="A71" s="288"/>
      <c r="B71" s="293" t="s">
        <v>168</v>
      </c>
      <c r="C71" s="293" t="s">
        <v>123</v>
      </c>
      <c r="D71" s="291"/>
      <c r="E71" s="21" t="s">
        <v>169</v>
      </c>
      <c r="F71" s="316" t="s">
        <v>167</v>
      </c>
      <c r="G71" s="148">
        <f t="shared" si="1"/>
        <v>47895.8</v>
      </c>
      <c r="H71" s="309">
        <v>28174</v>
      </c>
      <c r="I71" s="279"/>
      <c r="J71" s="279"/>
    </row>
    <row r="72" s="270" customFormat="1" spans="1:10">
      <c r="A72" s="288"/>
      <c r="B72" s="317" t="s">
        <v>170</v>
      </c>
      <c r="C72" s="293" t="s">
        <v>171</v>
      </c>
      <c r="D72" s="291"/>
      <c r="E72" s="315" t="s">
        <v>160</v>
      </c>
      <c r="F72" s="316" t="s">
        <v>167</v>
      </c>
      <c r="G72" s="148">
        <f t="shared" si="1"/>
        <v>56535.2</v>
      </c>
      <c r="H72" s="309">
        <v>33256</v>
      </c>
      <c r="I72" s="279"/>
      <c r="J72" s="279"/>
    </row>
    <row r="73" s="270" customFormat="1" spans="1:10">
      <c r="A73" s="288"/>
      <c r="B73" s="293" t="s">
        <v>172</v>
      </c>
      <c r="C73" s="293" t="s">
        <v>173</v>
      </c>
      <c r="D73" s="291"/>
      <c r="E73" s="318" t="s">
        <v>174</v>
      </c>
      <c r="F73" s="316" t="s">
        <v>167</v>
      </c>
      <c r="G73" s="148">
        <f t="shared" si="1"/>
        <v>19590.8</v>
      </c>
      <c r="H73" s="309">
        <v>11524</v>
      </c>
      <c r="I73" s="279"/>
      <c r="J73" s="279"/>
    </row>
    <row r="74" s="270" customFormat="1" spans="1:10">
      <c r="A74" s="288"/>
      <c r="B74" s="293" t="s">
        <v>175</v>
      </c>
      <c r="C74" s="293" t="s">
        <v>176</v>
      </c>
      <c r="D74" s="291"/>
      <c r="E74" s="318" t="s">
        <v>177</v>
      </c>
      <c r="F74" s="316" t="s">
        <v>167</v>
      </c>
      <c r="G74" s="148">
        <f t="shared" si="1"/>
        <v>4948.7</v>
      </c>
      <c r="H74" s="309">
        <v>2911</v>
      </c>
      <c r="I74" s="279"/>
      <c r="J74" s="279"/>
    </row>
    <row r="75" s="270" customFormat="1" spans="1:10">
      <c r="A75" s="288"/>
      <c r="B75" s="293" t="s">
        <v>178</v>
      </c>
      <c r="C75" s="293" t="s">
        <v>123</v>
      </c>
      <c r="D75" s="291"/>
      <c r="E75" s="21" t="s">
        <v>166</v>
      </c>
      <c r="F75" s="316" t="s">
        <v>179</v>
      </c>
      <c r="G75" s="148">
        <f t="shared" si="1"/>
        <v>34790.5</v>
      </c>
      <c r="H75" s="309">
        <v>20465</v>
      </c>
      <c r="I75" s="279"/>
      <c r="J75" s="279"/>
    </row>
    <row r="76" s="270" customFormat="1" spans="1:10">
      <c r="A76" s="288"/>
      <c r="B76" s="293" t="s">
        <v>180</v>
      </c>
      <c r="C76" s="293" t="s">
        <v>123</v>
      </c>
      <c r="D76" s="291"/>
      <c r="E76" s="21" t="s">
        <v>169</v>
      </c>
      <c r="F76" s="316" t="s">
        <v>179</v>
      </c>
      <c r="G76" s="148">
        <f t="shared" si="1"/>
        <v>38217.7</v>
      </c>
      <c r="H76" s="309">
        <v>22481</v>
      </c>
      <c r="I76" s="279"/>
      <c r="J76" s="279"/>
    </row>
    <row r="77" s="270" customFormat="1" spans="1:10">
      <c r="A77" s="288"/>
      <c r="B77" s="293" t="s">
        <v>181</v>
      </c>
      <c r="C77" s="293" t="s">
        <v>182</v>
      </c>
      <c r="D77" s="291"/>
      <c r="E77" s="318" t="s">
        <v>183</v>
      </c>
      <c r="F77" s="316" t="s">
        <v>179</v>
      </c>
      <c r="G77" s="148">
        <f t="shared" si="1"/>
        <v>34076.5</v>
      </c>
      <c r="H77" s="309">
        <v>20045</v>
      </c>
      <c r="I77" s="279"/>
      <c r="J77" s="279"/>
    </row>
    <row r="78" s="270" customFormat="1" spans="1:10">
      <c r="A78" s="288"/>
      <c r="B78" s="293" t="s">
        <v>184</v>
      </c>
      <c r="C78" s="293" t="s">
        <v>133</v>
      </c>
      <c r="D78" s="291"/>
      <c r="E78" s="318" t="s">
        <v>185</v>
      </c>
      <c r="F78" s="316" t="s">
        <v>179</v>
      </c>
      <c r="G78" s="148">
        <f t="shared" si="1"/>
        <v>23749</v>
      </c>
      <c r="H78" s="309">
        <v>13970</v>
      </c>
      <c r="I78" s="279"/>
      <c r="J78" s="279"/>
    </row>
    <row r="79" s="270" customFormat="1" spans="1:10">
      <c r="A79" s="288"/>
      <c r="B79" s="293" t="s">
        <v>186</v>
      </c>
      <c r="C79" s="293" t="s">
        <v>173</v>
      </c>
      <c r="D79" s="291"/>
      <c r="E79" s="318" t="s">
        <v>187</v>
      </c>
      <c r="F79" s="316" t="s">
        <v>179</v>
      </c>
      <c r="G79" s="148">
        <f t="shared" si="1"/>
        <v>12870.7</v>
      </c>
      <c r="H79" s="309">
        <v>7571</v>
      </c>
      <c r="I79" s="279"/>
      <c r="J79" s="279"/>
    </row>
    <row r="80" s="270" customFormat="1" spans="1:10">
      <c r="A80" s="288"/>
      <c r="B80" s="293" t="s">
        <v>188</v>
      </c>
      <c r="C80" s="293" t="s">
        <v>176</v>
      </c>
      <c r="D80" s="291"/>
      <c r="E80" s="318" t="s">
        <v>189</v>
      </c>
      <c r="F80" s="316" t="s">
        <v>179</v>
      </c>
      <c r="G80" s="148">
        <f t="shared" si="1"/>
        <v>4039.2</v>
      </c>
      <c r="H80" s="309">
        <v>2376</v>
      </c>
      <c r="I80" s="279"/>
      <c r="J80" s="279"/>
    </row>
    <row r="81" s="270" customFormat="1" spans="1:10">
      <c r="A81" s="288"/>
      <c r="B81" s="293" t="s">
        <v>190</v>
      </c>
      <c r="C81" s="293" t="s">
        <v>191</v>
      </c>
      <c r="D81" s="291"/>
      <c r="E81" s="21" t="s">
        <v>166</v>
      </c>
      <c r="F81" s="316" t="s">
        <v>192</v>
      </c>
      <c r="G81" s="148">
        <f t="shared" si="1"/>
        <v>31477.2</v>
      </c>
      <c r="H81" s="309">
        <v>18516</v>
      </c>
      <c r="I81" s="279"/>
      <c r="J81" s="279"/>
    </row>
    <row r="82" s="270" customFormat="1" spans="1:10">
      <c r="A82" s="288"/>
      <c r="B82" s="293" t="s">
        <v>193</v>
      </c>
      <c r="C82" s="293" t="s">
        <v>191</v>
      </c>
      <c r="D82" s="291"/>
      <c r="E82" s="21" t="s">
        <v>169</v>
      </c>
      <c r="F82" s="316" t="s">
        <v>192</v>
      </c>
      <c r="G82" s="148">
        <f t="shared" si="1"/>
        <v>34909.5</v>
      </c>
      <c r="H82" s="309">
        <v>20535</v>
      </c>
      <c r="I82" s="279"/>
      <c r="J82" s="279"/>
    </row>
    <row r="83" s="270" customFormat="1" spans="1:10">
      <c r="A83" s="288"/>
      <c r="B83" s="293" t="s">
        <v>194</v>
      </c>
      <c r="C83" s="293" t="s">
        <v>195</v>
      </c>
      <c r="D83" s="291"/>
      <c r="E83" s="318" t="s">
        <v>183</v>
      </c>
      <c r="F83" s="316" t="s">
        <v>192</v>
      </c>
      <c r="G83" s="148">
        <f t="shared" si="1"/>
        <v>39091.5</v>
      </c>
      <c r="H83" s="309">
        <v>22995</v>
      </c>
      <c r="I83" s="279"/>
      <c r="J83" s="279"/>
    </row>
    <row r="84" s="270" customFormat="1" spans="1:10">
      <c r="A84" s="288"/>
      <c r="B84" s="293" t="s">
        <v>196</v>
      </c>
      <c r="C84" s="293" t="s">
        <v>197</v>
      </c>
      <c r="D84" s="291"/>
      <c r="E84" s="318" t="s">
        <v>185</v>
      </c>
      <c r="F84" s="316" t="s">
        <v>192</v>
      </c>
      <c r="G84" s="148">
        <f t="shared" si="1"/>
        <v>26217.4</v>
      </c>
      <c r="H84" s="309">
        <v>15422</v>
      </c>
      <c r="I84" s="279"/>
      <c r="J84" s="279"/>
    </row>
    <row r="85" s="270" customFormat="1" spans="1:10">
      <c r="A85" s="288"/>
      <c r="B85" s="293" t="s">
        <v>198</v>
      </c>
      <c r="C85" s="293" t="s">
        <v>199</v>
      </c>
      <c r="D85" s="291"/>
      <c r="E85" s="318" t="s">
        <v>200</v>
      </c>
      <c r="F85" s="316" t="s">
        <v>192</v>
      </c>
      <c r="G85" s="148">
        <f t="shared" si="1"/>
        <v>11716.4</v>
      </c>
      <c r="H85" s="309">
        <v>6892</v>
      </c>
      <c r="I85" s="279"/>
      <c r="J85" s="279"/>
    </row>
    <row r="86" s="270" customFormat="1" spans="1:10">
      <c r="A86" s="288"/>
      <c r="B86" s="293" t="s">
        <v>201</v>
      </c>
      <c r="C86" s="293" t="s">
        <v>202</v>
      </c>
      <c r="D86" s="291"/>
      <c r="E86" s="318" t="s">
        <v>203</v>
      </c>
      <c r="F86" s="316" t="s">
        <v>192</v>
      </c>
      <c r="G86" s="148">
        <f t="shared" si="1"/>
        <v>2990.3</v>
      </c>
      <c r="H86" s="309">
        <v>1759</v>
      </c>
      <c r="I86" s="279"/>
      <c r="J86" s="279"/>
    </row>
    <row r="87" s="270" customFormat="1" spans="1:10">
      <c r="A87" s="288"/>
      <c r="B87" s="319" t="s">
        <v>204</v>
      </c>
      <c r="C87" s="293" t="s">
        <v>205</v>
      </c>
      <c r="D87" s="291"/>
      <c r="E87" s="21" t="s">
        <v>206</v>
      </c>
      <c r="F87" s="316" t="s">
        <v>207</v>
      </c>
      <c r="G87" s="148">
        <f t="shared" si="1"/>
        <v>11934</v>
      </c>
      <c r="H87" s="295">
        <v>7020</v>
      </c>
      <c r="I87" s="279"/>
      <c r="J87" s="279"/>
    </row>
    <row r="88" s="270" customFormat="1" spans="1:10">
      <c r="A88" s="288"/>
      <c r="B88" s="319" t="s">
        <v>208</v>
      </c>
      <c r="C88" s="293" t="s">
        <v>205</v>
      </c>
      <c r="D88" s="291"/>
      <c r="E88" s="21" t="s">
        <v>209</v>
      </c>
      <c r="F88" s="316" t="s">
        <v>210</v>
      </c>
      <c r="G88" s="148">
        <f t="shared" si="1"/>
        <v>16228.2</v>
      </c>
      <c r="H88" s="309">
        <v>9546</v>
      </c>
      <c r="I88" s="279"/>
      <c r="J88" s="279"/>
    </row>
    <row r="89" s="270" customFormat="1" spans="1:10">
      <c r="A89" s="288"/>
      <c r="B89" s="319" t="s">
        <v>211</v>
      </c>
      <c r="C89" s="293" t="s">
        <v>205</v>
      </c>
      <c r="D89" s="291"/>
      <c r="E89" s="21" t="s">
        <v>166</v>
      </c>
      <c r="F89" s="316" t="s">
        <v>212</v>
      </c>
      <c r="G89" s="148">
        <f t="shared" si="1"/>
        <v>18866.6</v>
      </c>
      <c r="H89" s="309">
        <v>11098</v>
      </c>
      <c r="I89" s="279"/>
      <c r="J89" s="279"/>
    </row>
    <row r="90" s="270" customFormat="1" spans="1:10">
      <c r="A90" s="288"/>
      <c r="B90" s="319" t="s">
        <v>211</v>
      </c>
      <c r="C90" s="293" t="s">
        <v>205</v>
      </c>
      <c r="D90" s="291"/>
      <c r="E90" s="21" t="s">
        <v>169</v>
      </c>
      <c r="F90" s="316" t="s">
        <v>213</v>
      </c>
      <c r="G90" s="148">
        <f t="shared" si="1"/>
        <v>21590</v>
      </c>
      <c r="H90" s="309">
        <v>12700</v>
      </c>
      <c r="I90" s="279"/>
      <c r="J90" s="279"/>
    </row>
    <row r="91" s="270" customFormat="1" spans="1:10">
      <c r="A91" s="288"/>
      <c r="B91" s="293" t="s">
        <v>214</v>
      </c>
      <c r="C91" s="293" t="s">
        <v>215</v>
      </c>
      <c r="D91" s="291"/>
      <c r="E91" s="21" t="s">
        <v>166</v>
      </c>
      <c r="F91" s="316" t="s">
        <v>216</v>
      </c>
      <c r="G91" s="148">
        <f t="shared" si="1"/>
        <v>25141.3</v>
      </c>
      <c r="H91" s="309">
        <v>14789</v>
      </c>
      <c r="I91" s="279"/>
      <c r="J91" s="279"/>
    </row>
    <row r="92" s="270" customFormat="1" spans="1:10">
      <c r="A92" s="288"/>
      <c r="B92" s="293" t="s">
        <v>217</v>
      </c>
      <c r="C92" s="293" t="s">
        <v>218</v>
      </c>
      <c r="D92" s="291"/>
      <c r="E92" s="21" t="s">
        <v>169</v>
      </c>
      <c r="F92" s="316" t="s">
        <v>219</v>
      </c>
      <c r="G92" s="148">
        <f t="shared" si="1"/>
        <v>27764.4</v>
      </c>
      <c r="H92" s="309">
        <v>16332</v>
      </c>
      <c r="I92" s="279"/>
      <c r="J92" s="279"/>
    </row>
    <row r="93" s="270" customFormat="1" spans="1:10">
      <c r="A93" s="288"/>
      <c r="B93" s="293" t="s">
        <v>220</v>
      </c>
      <c r="C93" s="293" t="s">
        <v>221</v>
      </c>
      <c r="D93" s="291"/>
      <c r="E93" s="318" t="s">
        <v>222</v>
      </c>
      <c r="F93" s="316" t="s">
        <v>223</v>
      </c>
      <c r="G93" s="148">
        <f t="shared" si="1"/>
        <v>24915.2</v>
      </c>
      <c r="H93" s="309">
        <v>14656</v>
      </c>
      <c r="I93" s="279"/>
      <c r="J93" s="279"/>
    </row>
    <row r="94" s="270" customFormat="1" spans="1:10">
      <c r="A94" s="288"/>
      <c r="B94" s="293" t="s">
        <v>224</v>
      </c>
      <c r="C94" s="293" t="s">
        <v>225</v>
      </c>
      <c r="D94" s="291"/>
      <c r="E94" s="318" t="s">
        <v>226</v>
      </c>
      <c r="F94" s="316" t="s">
        <v>227</v>
      </c>
      <c r="G94" s="148">
        <f t="shared" si="1"/>
        <v>18139</v>
      </c>
      <c r="H94" s="309">
        <v>10670</v>
      </c>
      <c r="I94" s="279"/>
      <c r="J94" s="279"/>
    </row>
    <row r="95" s="270" customFormat="1" spans="1:10">
      <c r="A95" s="288"/>
      <c r="B95" s="293" t="s">
        <v>228</v>
      </c>
      <c r="C95" s="293" t="s">
        <v>202</v>
      </c>
      <c r="D95" s="291"/>
      <c r="E95" s="318" t="s">
        <v>229</v>
      </c>
      <c r="F95" s="316" t="s">
        <v>230</v>
      </c>
      <c r="G95" s="148">
        <f t="shared" si="1"/>
        <v>3935.5</v>
      </c>
      <c r="H95" s="309">
        <v>2315</v>
      </c>
      <c r="I95" s="279"/>
      <c r="J95" s="279"/>
    </row>
    <row r="96" s="270" customFormat="1" spans="1:10">
      <c r="A96" s="288"/>
      <c r="B96" s="293" t="s">
        <v>231</v>
      </c>
      <c r="C96" s="293" t="s">
        <v>232</v>
      </c>
      <c r="D96" s="291"/>
      <c r="E96" s="28" t="s">
        <v>233</v>
      </c>
      <c r="F96" s="316" t="s">
        <v>234</v>
      </c>
      <c r="G96" s="148">
        <f t="shared" si="1"/>
        <v>30732.6</v>
      </c>
      <c r="H96" s="320">
        <v>18078</v>
      </c>
      <c r="I96" s="279"/>
      <c r="J96" s="279"/>
    </row>
    <row r="97" s="270" customFormat="1" spans="1:10">
      <c r="A97" s="288"/>
      <c r="B97" s="293" t="s">
        <v>235</v>
      </c>
      <c r="C97" s="293" t="s">
        <v>236</v>
      </c>
      <c r="D97" s="291"/>
      <c r="E97" s="28" t="s">
        <v>237</v>
      </c>
      <c r="F97" s="316" t="s">
        <v>234</v>
      </c>
      <c r="G97" s="148">
        <f t="shared" si="1"/>
        <v>33534.2</v>
      </c>
      <c r="H97" s="320">
        <v>19726</v>
      </c>
      <c r="I97" s="279"/>
      <c r="J97" s="279"/>
    </row>
    <row r="98" s="270" customFormat="1" spans="1:10">
      <c r="A98" s="288"/>
      <c r="B98" s="293" t="s">
        <v>238</v>
      </c>
      <c r="C98" s="293" t="s">
        <v>195</v>
      </c>
      <c r="D98" s="291"/>
      <c r="E98" s="321" t="s">
        <v>239</v>
      </c>
      <c r="F98" s="316" t="s">
        <v>234</v>
      </c>
      <c r="G98" s="148">
        <f t="shared" si="1"/>
        <v>24172.3</v>
      </c>
      <c r="H98" s="295">
        <v>14219</v>
      </c>
      <c r="I98" s="279"/>
      <c r="J98" s="279"/>
    </row>
    <row r="99" s="270" customFormat="1" spans="1:10">
      <c r="A99" s="288"/>
      <c r="B99" s="293" t="s">
        <v>240</v>
      </c>
      <c r="C99" s="293" t="s">
        <v>199</v>
      </c>
      <c r="D99" s="291"/>
      <c r="E99" s="322" t="s">
        <v>241</v>
      </c>
      <c r="F99" s="316" t="s">
        <v>234</v>
      </c>
      <c r="G99" s="148">
        <f t="shared" si="1"/>
        <v>12809.5</v>
      </c>
      <c r="H99" s="323">
        <v>7535</v>
      </c>
      <c r="I99" s="279"/>
      <c r="J99" s="279"/>
    </row>
    <row r="100" s="270" customFormat="1" spans="1:10">
      <c r="A100" s="288"/>
      <c r="B100" s="293" t="s">
        <v>242</v>
      </c>
      <c r="C100" s="293" t="s">
        <v>243</v>
      </c>
      <c r="D100" s="291"/>
      <c r="E100" s="21" t="s">
        <v>244</v>
      </c>
      <c r="F100" s="316" t="s">
        <v>234</v>
      </c>
      <c r="G100" s="148">
        <f t="shared" si="1"/>
        <v>3087.2</v>
      </c>
      <c r="H100" s="295">
        <v>1816</v>
      </c>
      <c r="I100" s="279"/>
      <c r="J100" s="279"/>
    </row>
    <row r="101" s="270" customFormat="1" spans="1:10">
      <c r="A101" s="288"/>
      <c r="B101" s="293" t="s">
        <v>245</v>
      </c>
      <c r="C101" s="293" t="s">
        <v>246</v>
      </c>
      <c r="D101" s="291"/>
      <c r="E101" s="321" t="s">
        <v>247</v>
      </c>
      <c r="F101" s="316" t="s">
        <v>248</v>
      </c>
      <c r="G101" s="148">
        <f t="shared" si="1"/>
        <v>31195</v>
      </c>
      <c r="H101" s="324">
        <v>18350</v>
      </c>
      <c r="I101" s="279"/>
      <c r="J101" s="279"/>
    </row>
    <row r="102" s="270" customFormat="1" spans="1:10">
      <c r="A102" s="288"/>
      <c r="B102" s="293" t="s">
        <v>249</v>
      </c>
      <c r="C102" s="293" t="s">
        <v>191</v>
      </c>
      <c r="D102" s="291"/>
      <c r="E102" s="321" t="s">
        <v>250</v>
      </c>
      <c r="F102" s="316" t="s">
        <v>248</v>
      </c>
      <c r="G102" s="148">
        <f t="shared" si="1"/>
        <v>34753.1</v>
      </c>
      <c r="H102" s="324">
        <v>20443</v>
      </c>
      <c r="I102" s="279"/>
      <c r="J102" s="279"/>
    </row>
    <row r="103" s="270" customFormat="1" spans="1:10">
      <c r="A103" s="288"/>
      <c r="B103" s="311" t="s">
        <v>251</v>
      </c>
      <c r="C103" s="293" t="s">
        <v>197</v>
      </c>
      <c r="D103" s="291"/>
      <c r="E103" s="321" t="s">
        <v>252</v>
      </c>
      <c r="F103" s="316" t="s">
        <v>248</v>
      </c>
      <c r="G103" s="148">
        <f t="shared" si="1"/>
        <v>18637.1</v>
      </c>
      <c r="H103" s="324">
        <v>10963</v>
      </c>
      <c r="I103" s="279"/>
      <c r="J103" s="279"/>
    </row>
    <row r="104" s="270" customFormat="1" spans="1:10">
      <c r="A104" s="288"/>
      <c r="B104" s="311" t="s">
        <v>253</v>
      </c>
      <c r="C104" s="293" t="s">
        <v>254</v>
      </c>
      <c r="D104" s="291"/>
      <c r="E104" s="321" t="s">
        <v>252</v>
      </c>
      <c r="F104" s="316" t="s">
        <v>248</v>
      </c>
      <c r="G104" s="148">
        <f t="shared" si="1"/>
        <v>20196</v>
      </c>
      <c r="H104" s="324">
        <v>11880</v>
      </c>
      <c r="I104" s="279"/>
      <c r="J104" s="279"/>
    </row>
    <row r="105" s="270" customFormat="1" spans="1:10">
      <c r="A105" s="288"/>
      <c r="B105" s="293" t="s">
        <v>255</v>
      </c>
      <c r="C105" s="293" t="s">
        <v>199</v>
      </c>
      <c r="D105" s="291"/>
      <c r="E105" s="321" t="s">
        <v>256</v>
      </c>
      <c r="F105" s="316" t="s">
        <v>248</v>
      </c>
      <c r="G105" s="148">
        <f t="shared" si="1"/>
        <v>6024.8</v>
      </c>
      <c r="H105" s="324">
        <v>3544</v>
      </c>
      <c r="I105" s="279"/>
      <c r="J105" s="279"/>
    </row>
    <row r="106" s="270" customFormat="1" spans="1:10">
      <c r="A106" s="288"/>
      <c r="B106" s="293" t="s">
        <v>257</v>
      </c>
      <c r="C106" s="293" t="s">
        <v>258</v>
      </c>
      <c r="D106" s="291"/>
      <c r="E106" s="321" t="s">
        <v>259</v>
      </c>
      <c r="F106" s="316" t="s">
        <v>248</v>
      </c>
      <c r="G106" s="148">
        <f t="shared" si="1"/>
        <v>3100.8</v>
      </c>
      <c r="H106" s="324">
        <v>1824</v>
      </c>
      <c r="I106" s="279"/>
      <c r="J106" s="279"/>
    </row>
    <row r="107" s="270" customFormat="1" spans="1:10">
      <c r="A107" s="288"/>
      <c r="B107" s="293" t="s">
        <v>260</v>
      </c>
      <c r="C107" s="293" t="s">
        <v>123</v>
      </c>
      <c r="D107" s="291"/>
      <c r="E107" s="21" t="s">
        <v>166</v>
      </c>
      <c r="F107" s="316" t="s">
        <v>261</v>
      </c>
      <c r="G107" s="148">
        <f t="shared" si="1"/>
        <v>41952.6</v>
      </c>
      <c r="H107" s="295">
        <v>24678</v>
      </c>
      <c r="I107" s="279"/>
      <c r="J107" s="279"/>
    </row>
    <row r="108" s="270" customFormat="1" spans="1:10">
      <c r="A108" s="288"/>
      <c r="B108" s="293" t="s">
        <v>262</v>
      </c>
      <c r="C108" s="293" t="s">
        <v>123</v>
      </c>
      <c r="D108" s="291"/>
      <c r="E108" s="21" t="s">
        <v>169</v>
      </c>
      <c r="F108" s="316" t="s">
        <v>261</v>
      </c>
      <c r="G108" s="148">
        <f t="shared" si="1"/>
        <v>44997.3</v>
      </c>
      <c r="H108" s="309">
        <v>26469</v>
      </c>
      <c r="I108" s="279"/>
      <c r="J108" s="279"/>
    </row>
    <row r="109" s="270" customFormat="1" spans="1:10">
      <c r="A109" s="288"/>
      <c r="B109" s="293" t="s">
        <v>263</v>
      </c>
      <c r="C109" s="293" t="s">
        <v>182</v>
      </c>
      <c r="D109" s="291"/>
      <c r="E109" s="318" t="s">
        <v>264</v>
      </c>
      <c r="F109" s="316" t="s">
        <v>261</v>
      </c>
      <c r="G109" s="148">
        <f t="shared" si="1"/>
        <v>43261.6</v>
      </c>
      <c r="H109" s="309">
        <v>25448</v>
      </c>
      <c r="I109" s="279"/>
      <c r="J109" s="279"/>
    </row>
    <row r="110" s="270" customFormat="1" spans="1:10">
      <c r="A110" s="288"/>
      <c r="B110" s="293" t="s">
        <v>265</v>
      </c>
      <c r="C110" s="293" t="s">
        <v>173</v>
      </c>
      <c r="D110" s="291"/>
      <c r="E110" s="318" t="s">
        <v>266</v>
      </c>
      <c r="F110" s="316" t="s">
        <v>261</v>
      </c>
      <c r="G110" s="148">
        <f t="shared" si="1"/>
        <v>12736.4</v>
      </c>
      <c r="H110" s="309">
        <v>7492</v>
      </c>
      <c r="I110" s="279"/>
      <c r="J110" s="279"/>
    </row>
    <row r="111" s="270" customFormat="1" spans="1:10">
      <c r="A111" s="288"/>
      <c r="B111" s="293" t="s">
        <v>267</v>
      </c>
      <c r="C111" s="293" t="s">
        <v>176</v>
      </c>
      <c r="D111" s="291"/>
      <c r="E111" s="318" t="s">
        <v>268</v>
      </c>
      <c r="F111" s="316" t="s">
        <v>261</v>
      </c>
      <c r="G111" s="148">
        <f t="shared" si="1"/>
        <v>6730.3</v>
      </c>
      <c r="H111" s="309">
        <v>3959</v>
      </c>
      <c r="I111" s="279"/>
      <c r="J111" s="279"/>
    </row>
    <row r="112" s="270" customFormat="1" spans="1:10">
      <c r="A112" s="288"/>
      <c r="B112" s="293" t="s">
        <v>269</v>
      </c>
      <c r="C112" s="293" t="s">
        <v>270</v>
      </c>
      <c r="D112" s="291"/>
      <c r="E112" s="21" t="s">
        <v>271</v>
      </c>
      <c r="F112" s="325" t="s">
        <v>272</v>
      </c>
      <c r="G112" s="148">
        <f t="shared" si="1"/>
        <v>13987.6</v>
      </c>
      <c r="H112" s="309">
        <v>8228</v>
      </c>
      <c r="I112" s="279"/>
      <c r="J112" s="279"/>
    </row>
    <row r="113" s="270" customFormat="1" spans="1:10">
      <c r="A113" s="288"/>
      <c r="B113" s="293" t="s">
        <v>273</v>
      </c>
      <c r="C113" s="293" t="s">
        <v>274</v>
      </c>
      <c r="D113" s="291"/>
      <c r="E113" s="21" t="s">
        <v>166</v>
      </c>
      <c r="F113" s="325" t="s">
        <v>275</v>
      </c>
      <c r="G113" s="148">
        <f t="shared" si="1"/>
        <v>26994.3</v>
      </c>
      <c r="H113" s="309">
        <v>15879</v>
      </c>
      <c r="I113" s="279"/>
      <c r="J113" s="279"/>
    </row>
    <row r="114" s="270" customFormat="1" spans="1:10">
      <c r="A114" s="288"/>
      <c r="B114" s="293" t="s">
        <v>276</v>
      </c>
      <c r="C114" s="293" t="s">
        <v>274</v>
      </c>
      <c r="D114" s="291"/>
      <c r="E114" s="21" t="s">
        <v>169</v>
      </c>
      <c r="F114" s="325" t="s">
        <v>275</v>
      </c>
      <c r="G114" s="148">
        <f t="shared" si="1"/>
        <v>30028.8</v>
      </c>
      <c r="H114" s="309">
        <v>17664</v>
      </c>
      <c r="I114" s="279"/>
      <c r="J114" s="279"/>
    </row>
    <row r="115" s="270" customFormat="1" spans="1:10">
      <c r="A115" s="288"/>
      <c r="B115" s="293" t="s">
        <v>277</v>
      </c>
      <c r="C115" s="293" t="s">
        <v>278</v>
      </c>
      <c r="D115" s="291"/>
      <c r="E115" s="318" t="s">
        <v>279</v>
      </c>
      <c r="F115" s="325" t="s">
        <v>275</v>
      </c>
      <c r="G115" s="148">
        <f t="shared" si="1"/>
        <v>21826.3</v>
      </c>
      <c r="H115" s="309">
        <v>12839</v>
      </c>
      <c r="I115" s="279"/>
      <c r="J115" s="279"/>
    </row>
    <row r="116" s="270" customFormat="1" spans="1:10">
      <c r="A116" s="288"/>
      <c r="B116" s="293" t="s">
        <v>280</v>
      </c>
      <c r="C116" s="293" t="s">
        <v>281</v>
      </c>
      <c r="D116" s="291"/>
      <c r="E116" s="318" t="s">
        <v>282</v>
      </c>
      <c r="F116" s="325" t="s">
        <v>275</v>
      </c>
      <c r="G116" s="148">
        <f t="shared" si="1"/>
        <v>32629.8</v>
      </c>
      <c r="H116" s="309">
        <v>19194</v>
      </c>
      <c r="I116" s="279"/>
      <c r="J116" s="279"/>
    </row>
    <row r="117" s="270" customFormat="1" spans="1:10">
      <c r="A117" s="288"/>
      <c r="B117" s="293" t="s">
        <v>283</v>
      </c>
      <c r="C117" s="293" t="s">
        <v>284</v>
      </c>
      <c r="D117" s="291"/>
      <c r="E117" s="318" t="s">
        <v>285</v>
      </c>
      <c r="F117" s="325" t="s">
        <v>275</v>
      </c>
      <c r="G117" s="148">
        <f t="shared" si="1"/>
        <v>9683.2</v>
      </c>
      <c r="H117" s="309">
        <v>5696</v>
      </c>
      <c r="I117" s="279"/>
      <c r="J117" s="279"/>
    </row>
    <row r="118" s="270" customFormat="1" spans="1:10">
      <c r="A118" s="288"/>
      <c r="B118" s="293" t="s">
        <v>286</v>
      </c>
      <c r="C118" s="293" t="s">
        <v>287</v>
      </c>
      <c r="D118" s="291"/>
      <c r="E118" s="318" t="s">
        <v>288</v>
      </c>
      <c r="F118" s="325" t="s">
        <v>275</v>
      </c>
      <c r="G118" s="148">
        <f t="shared" si="1"/>
        <v>2963.1</v>
      </c>
      <c r="H118" s="309">
        <v>1743</v>
      </c>
      <c r="I118" s="279"/>
      <c r="J118" s="279"/>
    </row>
    <row r="119" s="270" customFormat="1" spans="1:10">
      <c r="A119" s="288"/>
      <c r="B119" s="293" t="s">
        <v>289</v>
      </c>
      <c r="C119" s="293" t="s">
        <v>290</v>
      </c>
      <c r="D119" s="291"/>
      <c r="E119" s="21" t="s">
        <v>166</v>
      </c>
      <c r="F119" s="316" t="s">
        <v>291</v>
      </c>
      <c r="G119" s="148">
        <f t="shared" si="1"/>
        <v>33556.3</v>
      </c>
      <c r="H119" s="295">
        <v>19739</v>
      </c>
      <c r="I119" s="279"/>
      <c r="J119" s="279"/>
    </row>
    <row r="120" s="270" customFormat="1" spans="1:10">
      <c r="A120" s="288"/>
      <c r="B120" s="293" t="s">
        <v>292</v>
      </c>
      <c r="C120" s="293" t="s">
        <v>290</v>
      </c>
      <c r="D120" s="291"/>
      <c r="E120" s="21" t="s">
        <v>169</v>
      </c>
      <c r="F120" s="316" t="s">
        <v>291</v>
      </c>
      <c r="G120" s="148">
        <f t="shared" si="1"/>
        <v>37444.2</v>
      </c>
      <c r="H120" s="309">
        <v>22026</v>
      </c>
      <c r="I120" s="279"/>
      <c r="J120" s="279"/>
    </row>
    <row r="121" s="270" customFormat="1" spans="1:10">
      <c r="A121" s="288"/>
      <c r="B121" s="293" t="s">
        <v>293</v>
      </c>
      <c r="C121" s="293" t="s">
        <v>294</v>
      </c>
      <c r="D121" s="291"/>
      <c r="E121" s="318" t="s">
        <v>183</v>
      </c>
      <c r="F121" s="316" t="s">
        <v>291</v>
      </c>
      <c r="G121" s="148">
        <f t="shared" si="1"/>
        <v>27601.2</v>
      </c>
      <c r="H121" s="309">
        <v>16236</v>
      </c>
      <c r="I121" s="279"/>
      <c r="J121" s="279"/>
    </row>
    <row r="122" s="270" customFormat="1" spans="1:10">
      <c r="A122" s="288"/>
      <c r="B122" s="293" t="s">
        <v>295</v>
      </c>
      <c r="C122" s="293" t="s">
        <v>284</v>
      </c>
      <c r="D122" s="291"/>
      <c r="E122" s="318" t="s">
        <v>296</v>
      </c>
      <c r="F122" s="316" t="s">
        <v>291</v>
      </c>
      <c r="G122" s="148">
        <f t="shared" si="1"/>
        <v>7272.6</v>
      </c>
      <c r="H122" s="309">
        <v>4278</v>
      </c>
      <c r="I122" s="279"/>
      <c r="J122" s="279"/>
    </row>
    <row r="123" s="270" customFormat="1" spans="1:10">
      <c r="A123" s="288"/>
      <c r="B123" s="293" t="s">
        <v>297</v>
      </c>
      <c r="C123" s="293" t="s">
        <v>287</v>
      </c>
      <c r="D123" s="291"/>
      <c r="E123" s="318" t="s">
        <v>298</v>
      </c>
      <c r="F123" s="316" t="s">
        <v>291</v>
      </c>
      <c r="G123" s="148">
        <f t="shared" si="1"/>
        <v>3272.5</v>
      </c>
      <c r="H123" s="309">
        <v>1925</v>
      </c>
      <c r="I123" s="279"/>
      <c r="J123" s="279"/>
    </row>
    <row r="124" s="270" customFormat="1" spans="1:10">
      <c r="A124" s="288"/>
      <c r="B124" s="326" t="s">
        <v>299</v>
      </c>
      <c r="C124" s="327" t="s">
        <v>123</v>
      </c>
      <c r="E124" s="328" t="s">
        <v>300</v>
      </c>
      <c r="F124" s="325" t="s">
        <v>301</v>
      </c>
      <c r="G124" s="148">
        <f t="shared" si="1"/>
        <v>35128.8</v>
      </c>
      <c r="H124" s="329">
        <v>20664</v>
      </c>
      <c r="I124" s="279"/>
      <c r="J124" s="279"/>
    </row>
    <row r="125" s="270" customFormat="1" spans="1:10">
      <c r="A125" s="288"/>
      <c r="B125" s="326" t="s">
        <v>302</v>
      </c>
      <c r="C125" s="327" t="s">
        <v>123</v>
      </c>
      <c r="E125" s="328" t="s">
        <v>303</v>
      </c>
      <c r="F125" s="325" t="s">
        <v>301</v>
      </c>
      <c r="G125" s="148">
        <f t="shared" ref="G125:G156" si="2">H125*1.7</f>
        <v>38608.7</v>
      </c>
      <c r="H125" s="329">
        <v>22711</v>
      </c>
      <c r="I125" s="279"/>
      <c r="J125" s="279"/>
    </row>
    <row r="126" s="270" customFormat="1" spans="1:10">
      <c r="A126" s="288"/>
      <c r="B126" s="326" t="s">
        <v>304</v>
      </c>
      <c r="C126" s="327" t="s">
        <v>182</v>
      </c>
      <c r="E126" s="330" t="s">
        <v>305</v>
      </c>
      <c r="F126" s="325" t="s">
        <v>301</v>
      </c>
      <c r="G126" s="148">
        <f t="shared" si="2"/>
        <v>31339.5</v>
      </c>
      <c r="H126" s="329">
        <v>18435</v>
      </c>
      <c r="I126" s="279"/>
      <c r="J126" s="279"/>
    </row>
    <row r="127" s="270" customFormat="1" spans="1:10">
      <c r="A127" s="288"/>
      <c r="B127" s="326" t="s">
        <v>306</v>
      </c>
      <c r="C127" s="327" t="s">
        <v>173</v>
      </c>
      <c r="E127" s="330" t="s">
        <v>307</v>
      </c>
      <c r="F127" s="325" t="s">
        <v>301</v>
      </c>
      <c r="G127" s="148">
        <f t="shared" si="2"/>
        <v>14429.6</v>
      </c>
      <c r="H127" s="329">
        <v>8488</v>
      </c>
      <c r="I127" s="279"/>
      <c r="J127" s="279"/>
    </row>
    <row r="128" s="270" customFormat="1" spans="1:10">
      <c r="A128" s="288"/>
      <c r="B128" s="326" t="s">
        <v>308</v>
      </c>
      <c r="C128" s="327" t="s">
        <v>176</v>
      </c>
      <c r="E128" s="330" t="s">
        <v>244</v>
      </c>
      <c r="F128" s="325" t="s">
        <v>301</v>
      </c>
      <c r="G128" s="148">
        <f t="shared" si="2"/>
        <v>4569.6</v>
      </c>
      <c r="H128" s="329">
        <v>2688</v>
      </c>
      <c r="I128" s="279"/>
      <c r="J128" s="279"/>
    </row>
    <row r="129" s="270" customFormat="1" spans="1:10">
      <c r="A129" s="288"/>
      <c r="B129" s="326" t="s">
        <v>309</v>
      </c>
      <c r="C129" s="327" t="s">
        <v>123</v>
      </c>
      <c r="E129" s="328" t="s">
        <v>300</v>
      </c>
      <c r="F129" s="325" t="s">
        <v>310</v>
      </c>
      <c r="G129" s="148">
        <f t="shared" si="2"/>
        <v>42357.2</v>
      </c>
      <c r="H129" s="331">
        <v>24916</v>
      </c>
      <c r="I129" s="279"/>
      <c r="J129" s="279"/>
    </row>
    <row r="130" s="270" customFormat="1" spans="1:10">
      <c r="A130" s="288"/>
      <c r="B130" s="326" t="s">
        <v>311</v>
      </c>
      <c r="C130" s="327" t="s">
        <v>123</v>
      </c>
      <c r="E130" s="328" t="s">
        <v>303</v>
      </c>
      <c r="F130" s="325" t="s">
        <v>310</v>
      </c>
      <c r="G130" s="148">
        <f t="shared" si="2"/>
        <v>46087</v>
      </c>
      <c r="H130" s="331">
        <v>27110</v>
      </c>
      <c r="I130" s="279"/>
      <c r="J130" s="279"/>
    </row>
    <row r="131" s="270" customFormat="1" spans="1:10">
      <c r="A131" s="288"/>
      <c r="B131" s="326" t="s">
        <v>312</v>
      </c>
      <c r="C131" s="327" t="s">
        <v>182</v>
      </c>
      <c r="E131" s="330" t="s">
        <v>313</v>
      </c>
      <c r="F131" s="325" t="s">
        <v>310</v>
      </c>
      <c r="G131" s="148">
        <f t="shared" si="2"/>
        <v>38688.6</v>
      </c>
      <c r="H131" s="331">
        <v>22758</v>
      </c>
      <c r="I131" s="279"/>
      <c r="J131" s="279"/>
    </row>
    <row r="132" s="270" customFormat="1" spans="1:10">
      <c r="A132" s="288"/>
      <c r="B132" s="326" t="s">
        <v>314</v>
      </c>
      <c r="C132" s="327" t="s">
        <v>149</v>
      </c>
      <c r="E132" s="328" t="s">
        <v>315</v>
      </c>
      <c r="F132" s="325" t="s">
        <v>310</v>
      </c>
      <c r="G132" s="148">
        <f t="shared" si="2"/>
        <v>50597.1</v>
      </c>
      <c r="H132" s="331">
        <v>29763</v>
      </c>
      <c r="I132" s="279"/>
      <c r="J132" s="279"/>
    </row>
    <row r="133" s="270" customFormat="1" spans="1:10">
      <c r="A133" s="288"/>
      <c r="B133" s="326" t="s">
        <v>316</v>
      </c>
      <c r="C133" s="327" t="s">
        <v>173</v>
      </c>
      <c r="E133" s="330" t="s">
        <v>317</v>
      </c>
      <c r="F133" s="325" t="s">
        <v>310</v>
      </c>
      <c r="G133" s="148">
        <f t="shared" si="2"/>
        <v>19560.2</v>
      </c>
      <c r="H133" s="331">
        <v>11506</v>
      </c>
      <c r="I133" s="279"/>
      <c r="J133" s="279"/>
    </row>
    <row r="134" s="270" customFormat="1" spans="1:10">
      <c r="A134" s="288"/>
      <c r="B134" s="326" t="s">
        <v>318</v>
      </c>
      <c r="C134" s="327" t="s">
        <v>176</v>
      </c>
      <c r="E134" s="330" t="s">
        <v>319</v>
      </c>
      <c r="F134" s="325" t="s">
        <v>310</v>
      </c>
      <c r="G134" s="148">
        <f t="shared" si="2"/>
        <v>6335.9</v>
      </c>
      <c r="H134" s="331">
        <v>3727</v>
      </c>
      <c r="I134" s="279"/>
      <c r="J134" s="279"/>
    </row>
    <row r="135" s="270" customFormat="1" spans="1:10">
      <c r="A135" s="288"/>
      <c r="B135" s="326" t="s">
        <v>320</v>
      </c>
      <c r="C135" s="327" t="s">
        <v>123</v>
      </c>
      <c r="E135" s="328" t="s">
        <v>300</v>
      </c>
      <c r="F135" s="325" t="s">
        <v>321</v>
      </c>
      <c r="G135" s="148">
        <f t="shared" si="2"/>
        <v>45927.2</v>
      </c>
      <c r="H135" s="332">
        <v>27016</v>
      </c>
      <c r="I135" s="279"/>
      <c r="J135" s="279"/>
    </row>
    <row r="136" s="270" customFormat="1" spans="1:10">
      <c r="A136" s="288"/>
      <c r="B136" s="326" t="s">
        <v>322</v>
      </c>
      <c r="C136" s="327" t="s">
        <v>123</v>
      </c>
      <c r="E136" s="328" t="s">
        <v>303</v>
      </c>
      <c r="F136" s="325" t="s">
        <v>321</v>
      </c>
      <c r="G136" s="148">
        <f t="shared" si="2"/>
        <v>49731.8</v>
      </c>
      <c r="H136" s="333">
        <v>29254</v>
      </c>
      <c r="I136" s="279"/>
      <c r="J136" s="279"/>
    </row>
    <row r="137" s="270" customFormat="1" spans="1:10">
      <c r="A137" s="288"/>
      <c r="B137" s="326" t="s">
        <v>323</v>
      </c>
      <c r="C137" s="327" t="s">
        <v>182</v>
      </c>
      <c r="E137" s="330" t="s">
        <v>324</v>
      </c>
      <c r="F137" s="325" t="s">
        <v>321</v>
      </c>
      <c r="G137" s="148">
        <f t="shared" si="2"/>
        <v>45634.8</v>
      </c>
      <c r="H137" s="331">
        <v>26844</v>
      </c>
      <c r="I137" s="279"/>
      <c r="J137" s="279"/>
    </row>
    <row r="138" s="270" customFormat="1" spans="1:10">
      <c r="A138" s="288"/>
      <c r="B138" s="326" t="s">
        <v>325</v>
      </c>
      <c r="C138" s="327" t="s">
        <v>173</v>
      </c>
      <c r="E138" s="330" t="s">
        <v>326</v>
      </c>
      <c r="F138" s="325" t="s">
        <v>321</v>
      </c>
      <c r="G138" s="148">
        <f t="shared" si="2"/>
        <v>16792.6</v>
      </c>
      <c r="H138" s="331">
        <v>9878</v>
      </c>
      <c r="I138" s="279"/>
      <c r="J138" s="279"/>
    </row>
    <row r="139" s="270" customFormat="1" spans="1:10">
      <c r="A139" s="288"/>
      <c r="B139" s="326" t="s">
        <v>327</v>
      </c>
      <c r="C139" s="327" t="s">
        <v>176</v>
      </c>
      <c r="E139" s="330" t="s">
        <v>328</v>
      </c>
      <c r="F139" s="325" t="s">
        <v>321</v>
      </c>
      <c r="G139" s="148">
        <f t="shared" si="2"/>
        <v>4885.8</v>
      </c>
      <c r="H139" s="331">
        <v>2874</v>
      </c>
      <c r="I139" s="279"/>
      <c r="J139" s="279"/>
    </row>
    <row r="140" s="270" customFormat="1" spans="1:10">
      <c r="A140" s="288"/>
      <c r="B140" s="334" t="s">
        <v>329</v>
      </c>
      <c r="C140" s="335" t="s">
        <v>330</v>
      </c>
      <c r="E140" s="328" t="s">
        <v>331</v>
      </c>
      <c r="F140" s="336" t="s">
        <v>332</v>
      </c>
      <c r="G140" s="148">
        <f t="shared" si="2"/>
        <v>28135</v>
      </c>
      <c r="H140" s="331">
        <v>16550</v>
      </c>
      <c r="I140" s="279"/>
      <c r="J140" s="279"/>
    </row>
    <row r="141" s="270" customFormat="1" spans="1:10">
      <c r="A141" s="288"/>
      <c r="B141" s="334" t="s">
        <v>333</v>
      </c>
      <c r="C141" s="335" t="s">
        <v>330</v>
      </c>
      <c r="E141" s="328" t="s">
        <v>334</v>
      </c>
      <c r="F141" s="336" t="s">
        <v>332</v>
      </c>
      <c r="G141" s="148">
        <f t="shared" si="2"/>
        <v>31140.6</v>
      </c>
      <c r="H141" s="331">
        <v>18318</v>
      </c>
      <c r="I141" s="279"/>
      <c r="J141" s="279"/>
    </row>
    <row r="142" s="270" customFormat="1" spans="1:10">
      <c r="A142" s="288"/>
      <c r="B142" s="311" t="s">
        <v>335</v>
      </c>
      <c r="C142" s="335" t="s">
        <v>336</v>
      </c>
      <c r="E142" s="328" t="s">
        <v>300</v>
      </c>
      <c r="F142" s="337" t="s">
        <v>337</v>
      </c>
      <c r="G142" s="148">
        <f t="shared" si="2"/>
        <v>7886.3</v>
      </c>
      <c r="H142" s="331">
        <v>4639</v>
      </c>
      <c r="I142" s="279"/>
      <c r="J142" s="279"/>
    </row>
    <row r="143" s="272" customFormat="1" spans="1:10">
      <c r="A143" s="338"/>
      <c r="B143" s="339" t="s">
        <v>338</v>
      </c>
      <c r="C143" s="340" t="s">
        <v>339</v>
      </c>
      <c r="E143" s="341" t="s">
        <v>12</v>
      </c>
      <c r="F143" s="342" t="s">
        <v>337</v>
      </c>
      <c r="G143" s="343">
        <f t="shared" si="2"/>
        <v>9339.8</v>
      </c>
      <c r="H143" s="344">
        <v>5494</v>
      </c>
      <c r="I143" s="366"/>
      <c r="J143" s="366"/>
    </row>
    <row r="144" s="270" customFormat="1" spans="1:10">
      <c r="A144" s="288"/>
      <c r="B144" s="326" t="s">
        <v>340</v>
      </c>
      <c r="C144" s="327" t="s">
        <v>123</v>
      </c>
      <c r="E144" s="345" t="s">
        <v>16</v>
      </c>
      <c r="F144" s="325" t="s">
        <v>337</v>
      </c>
      <c r="G144" s="148">
        <f t="shared" si="2"/>
        <v>34510</v>
      </c>
      <c r="H144" s="346">
        <v>20300</v>
      </c>
      <c r="I144" s="279"/>
      <c r="J144" s="279"/>
    </row>
    <row r="145" s="270" customFormat="1" spans="1:10">
      <c r="A145" s="288"/>
      <c r="B145" s="326" t="s">
        <v>341</v>
      </c>
      <c r="C145" s="327" t="s">
        <v>123</v>
      </c>
      <c r="E145" s="345" t="s">
        <v>12</v>
      </c>
      <c r="F145" s="325" t="s">
        <v>337</v>
      </c>
      <c r="G145" s="148">
        <f t="shared" si="2"/>
        <v>37651.6</v>
      </c>
      <c r="H145" s="346">
        <v>22148</v>
      </c>
      <c r="I145" s="279"/>
      <c r="J145" s="279"/>
    </row>
    <row r="146" s="270" customFormat="1" spans="1:10">
      <c r="A146" s="288"/>
      <c r="B146" s="326" t="s">
        <v>342</v>
      </c>
      <c r="C146" s="327" t="s">
        <v>182</v>
      </c>
      <c r="E146" s="345" t="s">
        <v>343</v>
      </c>
      <c r="F146" s="325" t="s">
        <v>337</v>
      </c>
      <c r="G146" s="148">
        <f t="shared" si="2"/>
        <v>31249.4</v>
      </c>
      <c r="H146" s="346">
        <v>18382</v>
      </c>
      <c r="I146" s="279"/>
      <c r="J146" s="279"/>
    </row>
    <row r="147" s="270" customFormat="1" spans="1:10">
      <c r="A147" s="288"/>
      <c r="B147" s="326" t="s">
        <v>344</v>
      </c>
      <c r="C147" s="327" t="s">
        <v>173</v>
      </c>
      <c r="E147" s="345" t="s">
        <v>345</v>
      </c>
      <c r="F147" s="325" t="s">
        <v>337</v>
      </c>
      <c r="G147" s="148">
        <f t="shared" si="2"/>
        <v>16804.5</v>
      </c>
      <c r="H147" s="346">
        <v>9885</v>
      </c>
      <c r="I147" s="279"/>
      <c r="J147" s="279"/>
    </row>
    <row r="148" s="270" customFormat="1" spans="1:10">
      <c r="A148" s="288"/>
      <c r="B148" s="326" t="s">
        <v>346</v>
      </c>
      <c r="C148" s="327" t="s">
        <v>176</v>
      </c>
      <c r="E148" s="345" t="s">
        <v>347</v>
      </c>
      <c r="F148" s="325" t="s">
        <v>337</v>
      </c>
      <c r="G148" s="148">
        <f t="shared" si="2"/>
        <v>4355.4</v>
      </c>
      <c r="H148" s="346">
        <v>2562</v>
      </c>
      <c r="I148" s="279"/>
      <c r="J148" s="279"/>
    </row>
    <row r="149" s="270" customFormat="1" spans="1:10">
      <c r="A149" s="288"/>
      <c r="B149" s="326" t="s">
        <v>348</v>
      </c>
      <c r="C149" s="327" t="s">
        <v>123</v>
      </c>
      <c r="E149" s="328" t="s">
        <v>16</v>
      </c>
      <c r="F149" s="316" t="s">
        <v>349</v>
      </c>
      <c r="G149" s="148">
        <f t="shared" si="2"/>
        <v>34571.2</v>
      </c>
      <c r="H149" s="332">
        <v>20336</v>
      </c>
      <c r="I149" s="279"/>
      <c r="J149" s="279"/>
    </row>
    <row r="150" s="270" customFormat="1" spans="1:10">
      <c r="A150" s="288"/>
      <c r="B150" s="326" t="s">
        <v>350</v>
      </c>
      <c r="C150" s="327" t="s">
        <v>123</v>
      </c>
      <c r="E150" s="328" t="s">
        <v>12</v>
      </c>
      <c r="F150" s="316" t="s">
        <v>349</v>
      </c>
      <c r="G150" s="148">
        <f t="shared" si="2"/>
        <v>38275.5</v>
      </c>
      <c r="H150" s="333">
        <v>22515</v>
      </c>
      <c r="I150" s="279"/>
      <c r="J150" s="279"/>
    </row>
    <row r="151" s="270" customFormat="1" spans="1:10">
      <c r="A151" s="288"/>
      <c r="B151" s="311" t="s">
        <v>351</v>
      </c>
      <c r="C151" s="327" t="s">
        <v>352</v>
      </c>
      <c r="E151" s="330" t="s">
        <v>264</v>
      </c>
      <c r="F151" s="316" t="s">
        <v>349</v>
      </c>
      <c r="G151" s="148">
        <f t="shared" si="2"/>
        <v>34045.9</v>
      </c>
      <c r="H151" s="333">
        <v>20027</v>
      </c>
      <c r="I151" s="279"/>
      <c r="J151" s="279"/>
    </row>
    <row r="152" s="270" customFormat="1" spans="1:10">
      <c r="A152" s="288"/>
      <c r="B152" s="326" t="s">
        <v>353</v>
      </c>
      <c r="C152" s="327" t="s">
        <v>173</v>
      </c>
      <c r="E152" s="330" t="s">
        <v>354</v>
      </c>
      <c r="F152" s="316" t="s">
        <v>349</v>
      </c>
      <c r="G152" s="148">
        <f t="shared" si="2"/>
        <v>12891.1</v>
      </c>
      <c r="H152" s="333">
        <v>7583</v>
      </c>
      <c r="I152" s="279"/>
      <c r="J152" s="279"/>
    </row>
    <row r="153" s="270" customFormat="1" spans="1:10">
      <c r="A153" s="288"/>
      <c r="B153" s="326" t="s">
        <v>355</v>
      </c>
      <c r="C153" s="327" t="s">
        <v>176</v>
      </c>
      <c r="E153" s="330" t="s">
        <v>356</v>
      </c>
      <c r="F153" s="316" t="s">
        <v>349</v>
      </c>
      <c r="G153" s="148">
        <f t="shared" si="2"/>
        <v>5179.9</v>
      </c>
      <c r="H153" s="333">
        <v>3047</v>
      </c>
      <c r="I153" s="279"/>
      <c r="J153" s="279"/>
    </row>
    <row r="154" s="270" customFormat="1" spans="1:10">
      <c r="A154" s="288"/>
      <c r="B154" s="326" t="s">
        <v>357</v>
      </c>
      <c r="C154" s="327" t="s">
        <v>123</v>
      </c>
      <c r="E154" s="328" t="s">
        <v>16</v>
      </c>
      <c r="F154" s="316" t="s">
        <v>358</v>
      </c>
      <c r="G154" s="148">
        <f t="shared" si="2"/>
        <v>41952.6</v>
      </c>
      <c r="H154" s="332">
        <v>24678</v>
      </c>
      <c r="I154" s="279"/>
      <c r="J154" s="279"/>
    </row>
    <row r="155" s="270" customFormat="1" spans="1:10">
      <c r="A155" s="288"/>
      <c r="B155" s="326" t="s">
        <v>359</v>
      </c>
      <c r="C155" s="327" t="s">
        <v>123</v>
      </c>
      <c r="E155" s="328" t="s">
        <v>12</v>
      </c>
      <c r="F155" s="316" t="s">
        <v>358</v>
      </c>
      <c r="G155" s="148">
        <f t="shared" si="2"/>
        <v>44997.3</v>
      </c>
      <c r="H155" s="333">
        <v>26469</v>
      </c>
      <c r="I155" s="279"/>
      <c r="J155" s="279"/>
    </row>
    <row r="156" s="270" customFormat="1" spans="1:10">
      <c r="A156" s="288"/>
      <c r="B156" s="326" t="s">
        <v>360</v>
      </c>
      <c r="C156" s="327" t="s">
        <v>182</v>
      </c>
      <c r="E156" s="330" t="s">
        <v>361</v>
      </c>
      <c r="F156" s="316" t="s">
        <v>358</v>
      </c>
      <c r="G156" s="148">
        <f t="shared" si="2"/>
        <v>43261.6</v>
      </c>
      <c r="H156" s="333">
        <v>25448</v>
      </c>
      <c r="I156" s="279"/>
      <c r="J156" s="279"/>
    </row>
    <row r="157" s="270" customFormat="1" spans="1:10">
      <c r="A157" s="288"/>
      <c r="B157" s="326" t="s">
        <v>362</v>
      </c>
      <c r="C157" s="327" t="s">
        <v>173</v>
      </c>
      <c r="E157" s="330" t="s">
        <v>363</v>
      </c>
      <c r="F157" s="316" t="s">
        <v>358</v>
      </c>
      <c r="G157" s="148">
        <f t="shared" ref="G157:G200" si="3">H157*1.7</f>
        <v>12736.4</v>
      </c>
      <c r="H157" s="333">
        <v>7492</v>
      </c>
      <c r="I157" s="279"/>
      <c r="J157" s="279"/>
    </row>
    <row r="158" s="270" customFormat="1" spans="1:10">
      <c r="A158" s="288"/>
      <c r="B158" s="326" t="s">
        <v>364</v>
      </c>
      <c r="C158" s="327" t="s">
        <v>176</v>
      </c>
      <c r="E158" s="330" t="s">
        <v>365</v>
      </c>
      <c r="F158" s="316" t="s">
        <v>358</v>
      </c>
      <c r="G158" s="148">
        <f t="shared" si="3"/>
        <v>6730.3</v>
      </c>
      <c r="H158" s="333">
        <v>3959</v>
      </c>
      <c r="I158" s="279"/>
      <c r="J158" s="279"/>
    </row>
    <row r="159" s="270" customFormat="1" spans="1:10">
      <c r="A159" s="288"/>
      <c r="B159" s="326" t="s">
        <v>366</v>
      </c>
      <c r="C159" s="327" t="s">
        <v>123</v>
      </c>
      <c r="E159" s="330" t="s">
        <v>16</v>
      </c>
      <c r="F159" s="316" t="s">
        <v>367</v>
      </c>
      <c r="G159" s="148">
        <f t="shared" si="3"/>
        <v>33439</v>
      </c>
      <c r="H159" s="347">
        <v>19670</v>
      </c>
      <c r="I159" s="279"/>
      <c r="J159" s="279"/>
    </row>
    <row r="160" s="270" customFormat="1" spans="1:10">
      <c r="A160" s="288"/>
      <c r="B160" s="326" t="s">
        <v>368</v>
      </c>
      <c r="C160" s="327" t="s">
        <v>123</v>
      </c>
      <c r="E160" s="330" t="s">
        <v>12</v>
      </c>
      <c r="F160" s="316" t="s">
        <v>367</v>
      </c>
      <c r="G160" s="148">
        <f t="shared" si="3"/>
        <v>36745.5</v>
      </c>
      <c r="H160" s="347">
        <v>21615</v>
      </c>
      <c r="I160" s="279"/>
      <c r="J160" s="279"/>
    </row>
    <row r="161" s="270" customFormat="1" spans="1:10">
      <c r="A161" s="288"/>
      <c r="B161" s="311" t="s">
        <v>369</v>
      </c>
      <c r="C161" s="327" t="s">
        <v>352</v>
      </c>
      <c r="E161" s="330" t="s">
        <v>370</v>
      </c>
      <c r="F161" s="316" t="s">
        <v>367</v>
      </c>
      <c r="G161" s="148">
        <f t="shared" si="3"/>
        <v>32857.6</v>
      </c>
      <c r="H161" s="347">
        <v>19328</v>
      </c>
      <c r="I161" s="279"/>
      <c r="J161" s="279"/>
    </row>
    <row r="162" s="270" customFormat="1" spans="1:10">
      <c r="A162" s="288"/>
      <c r="B162" s="326" t="s">
        <v>371</v>
      </c>
      <c r="C162" s="327" t="s">
        <v>173</v>
      </c>
      <c r="E162" s="330" t="s">
        <v>372</v>
      </c>
      <c r="F162" s="316" t="s">
        <v>367</v>
      </c>
      <c r="G162" s="148">
        <f t="shared" si="3"/>
        <v>11148.6</v>
      </c>
      <c r="H162" s="347">
        <v>6558</v>
      </c>
      <c r="I162" s="279"/>
      <c r="J162" s="279"/>
    </row>
    <row r="163" s="270" customFormat="1" spans="1:10">
      <c r="A163" s="288"/>
      <c r="B163" s="326" t="s">
        <v>373</v>
      </c>
      <c r="C163" s="327" t="s">
        <v>176</v>
      </c>
      <c r="E163" s="330" t="s">
        <v>328</v>
      </c>
      <c r="F163" s="316" t="s">
        <v>367</v>
      </c>
      <c r="G163" s="148">
        <f t="shared" si="3"/>
        <v>4136.1</v>
      </c>
      <c r="H163" s="347">
        <v>2433</v>
      </c>
      <c r="I163" s="279"/>
      <c r="J163" s="279"/>
    </row>
    <row r="164" s="270" customFormat="1" spans="1:10">
      <c r="A164" s="288"/>
      <c r="B164" s="348" t="s">
        <v>374</v>
      </c>
      <c r="C164" s="349" t="s">
        <v>123</v>
      </c>
      <c r="E164" s="350" t="s">
        <v>16</v>
      </c>
      <c r="F164" s="351" t="s">
        <v>375</v>
      </c>
      <c r="G164" s="148">
        <f t="shared" si="3"/>
        <v>35064.2</v>
      </c>
      <c r="H164" s="352">
        <v>20626</v>
      </c>
      <c r="I164" s="279"/>
      <c r="J164" s="279"/>
    </row>
    <row r="165" s="270" customFormat="1" spans="1:10">
      <c r="A165" s="288"/>
      <c r="B165" s="348" t="s">
        <v>376</v>
      </c>
      <c r="C165" s="349" t="s">
        <v>123</v>
      </c>
      <c r="E165" s="350" t="s">
        <v>12</v>
      </c>
      <c r="F165" s="351" t="s">
        <v>375</v>
      </c>
      <c r="G165" s="148">
        <f t="shared" si="3"/>
        <v>38316.3</v>
      </c>
      <c r="H165" s="353">
        <v>22539</v>
      </c>
      <c r="I165" s="279"/>
      <c r="J165" s="279"/>
    </row>
    <row r="166" s="270" customFormat="1" spans="1:10">
      <c r="A166" s="288"/>
      <c r="B166" s="348" t="s">
        <v>377</v>
      </c>
      <c r="C166" s="349" t="s">
        <v>136</v>
      </c>
      <c r="E166" s="350" t="s">
        <v>378</v>
      </c>
      <c r="F166" s="351" t="s">
        <v>375</v>
      </c>
      <c r="G166" s="148">
        <f t="shared" si="3"/>
        <v>15623</v>
      </c>
      <c r="H166" s="352">
        <v>9190</v>
      </c>
      <c r="I166" s="279"/>
      <c r="J166" s="279"/>
    </row>
    <row r="167" s="270" customFormat="1" spans="1:10">
      <c r="A167" s="288"/>
      <c r="B167" s="348" t="s">
        <v>379</v>
      </c>
      <c r="C167" s="349" t="s">
        <v>139</v>
      </c>
      <c r="E167" s="328" t="s">
        <v>380</v>
      </c>
      <c r="F167" s="351" t="s">
        <v>375</v>
      </c>
      <c r="G167" s="148">
        <f t="shared" si="3"/>
        <v>7175.7</v>
      </c>
      <c r="H167" s="352">
        <v>4221</v>
      </c>
      <c r="I167" s="279"/>
      <c r="J167" s="279"/>
    </row>
    <row r="168" s="270" customFormat="1" spans="1:10">
      <c r="A168" s="288"/>
      <c r="B168" s="354" t="s">
        <v>381</v>
      </c>
      <c r="C168" s="336" t="s">
        <v>382</v>
      </c>
      <c r="E168" s="355" t="s">
        <v>383</v>
      </c>
      <c r="F168" s="351" t="s">
        <v>384</v>
      </c>
      <c r="G168" s="148">
        <f t="shared" si="3"/>
        <v>26227.6</v>
      </c>
      <c r="H168" s="353">
        <v>15428</v>
      </c>
      <c r="I168" s="279"/>
      <c r="J168" s="279"/>
    </row>
    <row r="169" s="270" customFormat="1" spans="1:10">
      <c r="A169" s="288"/>
      <c r="B169" s="354" t="s">
        <v>385</v>
      </c>
      <c r="C169" s="336" t="s">
        <v>382</v>
      </c>
      <c r="E169" s="355" t="s">
        <v>386</v>
      </c>
      <c r="F169" s="351" t="s">
        <v>384</v>
      </c>
      <c r="G169" s="148">
        <f t="shared" si="3"/>
        <v>29529</v>
      </c>
      <c r="H169" s="353">
        <v>17370</v>
      </c>
      <c r="I169" s="279"/>
      <c r="J169" s="279"/>
    </row>
    <row r="170" s="270" customFormat="1" spans="1:10">
      <c r="A170" s="288"/>
      <c r="B170" s="354" t="s">
        <v>387</v>
      </c>
      <c r="C170" s="336" t="s">
        <v>294</v>
      </c>
      <c r="E170" s="355" t="s">
        <v>388</v>
      </c>
      <c r="F170" s="351" t="s">
        <v>384</v>
      </c>
      <c r="G170" s="148">
        <f t="shared" si="3"/>
        <v>23385.2</v>
      </c>
      <c r="H170" s="353">
        <v>13756</v>
      </c>
      <c r="I170" s="279"/>
      <c r="J170" s="279"/>
    </row>
    <row r="171" s="270" customFormat="1" spans="1:10">
      <c r="A171" s="288"/>
      <c r="B171" s="354" t="s">
        <v>389</v>
      </c>
      <c r="C171" s="336" t="s">
        <v>284</v>
      </c>
      <c r="E171" s="355" t="s">
        <v>390</v>
      </c>
      <c r="F171" s="351" t="s">
        <v>384</v>
      </c>
      <c r="G171" s="148">
        <f t="shared" si="3"/>
        <v>10092.9</v>
      </c>
      <c r="H171" s="353">
        <v>5937</v>
      </c>
      <c r="I171" s="279"/>
      <c r="J171" s="279"/>
    </row>
    <row r="172" s="270" customFormat="1" spans="1:10">
      <c r="A172" s="288"/>
      <c r="B172" s="354" t="s">
        <v>391</v>
      </c>
      <c r="C172" s="336" t="s">
        <v>287</v>
      </c>
      <c r="E172" s="355" t="s">
        <v>392</v>
      </c>
      <c r="F172" s="351" t="s">
        <v>384</v>
      </c>
      <c r="G172" s="148">
        <f t="shared" si="3"/>
        <v>4709</v>
      </c>
      <c r="H172" s="353">
        <v>2770</v>
      </c>
      <c r="I172" s="279"/>
      <c r="J172" s="279"/>
    </row>
    <row r="173" s="270" customFormat="1" spans="1:10">
      <c r="A173" s="288"/>
      <c r="B173" s="356" t="s">
        <v>393</v>
      </c>
      <c r="C173" s="357" t="s">
        <v>123</v>
      </c>
      <c r="E173" s="358" t="s">
        <v>126</v>
      </c>
      <c r="F173" s="351" t="s">
        <v>394</v>
      </c>
      <c r="G173" s="148">
        <f t="shared" si="3"/>
        <v>37066.8</v>
      </c>
      <c r="H173" s="332">
        <v>21804</v>
      </c>
      <c r="I173" s="279"/>
      <c r="J173" s="279"/>
    </row>
    <row r="174" s="270" customFormat="1" spans="1:10">
      <c r="A174" s="288"/>
      <c r="B174" s="356" t="s">
        <v>395</v>
      </c>
      <c r="C174" s="357" t="s">
        <v>123</v>
      </c>
      <c r="E174" s="358" t="s">
        <v>147</v>
      </c>
      <c r="F174" s="351" t="s">
        <v>394</v>
      </c>
      <c r="G174" s="148">
        <f t="shared" si="3"/>
        <v>39888.8</v>
      </c>
      <c r="H174" s="332">
        <v>23464</v>
      </c>
      <c r="I174" s="279"/>
      <c r="J174" s="279"/>
    </row>
    <row r="175" s="270" customFormat="1" spans="1:10">
      <c r="A175" s="288"/>
      <c r="B175" s="356" t="s">
        <v>396</v>
      </c>
      <c r="C175" s="357" t="s">
        <v>173</v>
      </c>
      <c r="E175" s="358" t="s">
        <v>397</v>
      </c>
      <c r="F175" s="351" t="s">
        <v>394</v>
      </c>
      <c r="G175" s="148">
        <f t="shared" si="3"/>
        <v>13821</v>
      </c>
      <c r="H175" s="332">
        <v>8130</v>
      </c>
      <c r="I175" s="279"/>
      <c r="J175" s="279"/>
    </row>
    <row r="176" s="270" customFormat="1" spans="1:10">
      <c r="A176" s="288"/>
      <c r="B176" s="356" t="s">
        <v>398</v>
      </c>
      <c r="C176" s="357" t="s">
        <v>176</v>
      </c>
      <c r="E176" s="358" t="s">
        <v>399</v>
      </c>
      <c r="F176" s="351" t="s">
        <v>394</v>
      </c>
      <c r="G176" s="148">
        <f t="shared" si="3"/>
        <v>3690.7</v>
      </c>
      <c r="H176" s="332">
        <v>2171</v>
      </c>
      <c r="I176" s="279"/>
      <c r="J176" s="279"/>
    </row>
    <row r="177" s="270" customFormat="1" spans="1:10">
      <c r="A177" s="288"/>
      <c r="B177" s="356" t="s">
        <v>400</v>
      </c>
      <c r="C177" s="359" t="s">
        <v>274</v>
      </c>
      <c r="E177" s="328" t="s">
        <v>126</v>
      </c>
      <c r="F177" s="313" t="s">
        <v>207</v>
      </c>
      <c r="G177" s="148">
        <f t="shared" si="3"/>
        <v>23944.5</v>
      </c>
      <c r="H177" s="360">
        <v>14085</v>
      </c>
      <c r="I177" s="279"/>
      <c r="J177" s="279"/>
    </row>
    <row r="178" s="270" customFormat="1" spans="1:10">
      <c r="A178" s="288"/>
      <c r="B178" s="356" t="s">
        <v>401</v>
      </c>
      <c r="C178" s="359" t="s">
        <v>274</v>
      </c>
      <c r="E178" s="328" t="s">
        <v>147</v>
      </c>
      <c r="F178" s="313" t="s">
        <v>207</v>
      </c>
      <c r="G178" s="148">
        <f t="shared" si="3"/>
        <v>25545.9</v>
      </c>
      <c r="H178" s="332">
        <v>15027</v>
      </c>
      <c r="I178" s="279"/>
      <c r="J178" s="279"/>
    </row>
    <row r="179" s="270" customFormat="1" spans="1:10">
      <c r="A179" s="288"/>
      <c r="B179" s="356" t="s">
        <v>402</v>
      </c>
      <c r="C179" s="359" t="s">
        <v>403</v>
      </c>
      <c r="E179" s="328" t="s">
        <v>404</v>
      </c>
      <c r="F179" s="313" t="s">
        <v>207</v>
      </c>
      <c r="G179" s="148">
        <f t="shared" si="3"/>
        <v>14987.2</v>
      </c>
      <c r="H179" s="332">
        <v>8816</v>
      </c>
      <c r="I179" s="279"/>
      <c r="J179" s="279"/>
    </row>
    <row r="180" s="270" customFormat="1" spans="1:10">
      <c r="A180" s="288"/>
      <c r="B180" s="356" t="s">
        <v>405</v>
      </c>
      <c r="C180" s="359" t="s">
        <v>284</v>
      </c>
      <c r="E180" s="328" t="s">
        <v>406</v>
      </c>
      <c r="F180" s="313" t="s">
        <v>207</v>
      </c>
      <c r="G180" s="148">
        <f t="shared" si="3"/>
        <v>10145.6</v>
      </c>
      <c r="H180" s="332">
        <v>5968</v>
      </c>
      <c r="I180" s="279"/>
      <c r="J180" s="279"/>
    </row>
    <row r="181" s="270" customFormat="1" spans="1:10">
      <c r="A181" s="288"/>
      <c r="B181" s="356" t="s">
        <v>407</v>
      </c>
      <c r="C181" s="359" t="s">
        <v>287</v>
      </c>
      <c r="E181" s="328" t="s">
        <v>408</v>
      </c>
      <c r="F181" s="313" t="s">
        <v>207</v>
      </c>
      <c r="G181" s="148">
        <f t="shared" si="3"/>
        <v>3468</v>
      </c>
      <c r="H181" s="332">
        <v>2040</v>
      </c>
      <c r="I181" s="279"/>
      <c r="J181" s="279"/>
    </row>
    <row r="182" s="270" customFormat="1" spans="1:10">
      <c r="A182" s="288"/>
      <c r="B182" s="356" t="s">
        <v>409</v>
      </c>
      <c r="C182" s="359" t="s">
        <v>290</v>
      </c>
      <c r="E182" s="328" t="s">
        <v>16</v>
      </c>
      <c r="F182" s="313" t="s">
        <v>207</v>
      </c>
      <c r="G182" s="148">
        <f t="shared" si="3"/>
        <v>29727.9</v>
      </c>
      <c r="H182" s="332">
        <v>17487</v>
      </c>
      <c r="I182" s="279"/>
      <c r="J182" s="279"/>
    </row>
    <row r="183" s="270" customFormat="1" spans="1:10">
      <c r="A183" s="288"/>
      <c r="B183" s="356" t="s">
        <v>410</v>
      </c>
      <c r="C183" s="359" t="s">
        <v>290</v>
      </c>
      <c r="E183" s="328" t="s">
        <v>12</v>
      </c>
      <c r="F183" s="313" t="s">
        <v>207</v>
      </c>
      <c r="G183" s="148">
        <f t="shared" si="3"/>
        <v>32772.6</v>
      </c>
      <c r="H183" s="332">
        <v>19278</v>
      </c>
      <c r="I183" s="279"/>
      <c r="J183" s="279"/>
    </row>
    <row r="184" s="270" customFormat="1" spans="1:10">
      <c r="A184" s="288"/>
      <c r="B184" s="356" t="s">
        <v>411</v>
      </c>
      <c r="C184" s="359" t="s">
        <v>294</v>
      </c>
      <c r="E184" s="328" t="s">
        <v>412</v>
      </c>
      <c r="F184" s="313" t="s">
        <v>207</v>
      </c>
      <c r="G184" s="148">
        <f t="shared" si="3"/>
        <v>22776.6</v>
      </c>
      <c r="H184" s="332">
        <v>13398</v>
      </c>
      <c r="I184" s="279"/>
      <c r="J184" s="279"/>
    </row>
    <row r="185" s="270" customFormat="1" spans="1:10">
      <c r="A185" s="288"/>
      <c r="B185" s="334" t="s">
        <v>413</v>
      </c>
      <c r="C185" s="335" t="s">
        <v>414</v>
      </c>
      <c r="E185" s="328" t="s">
        <v>331</v>
      </c>
      <c r="F185" s="336" t="s">
        <v>415</v>
      </c>
      <c r="G185" s="148">
        <f t="shared" si="3"/>
        <v>26208.9</v>
      </c>
      <c r="H185" s="332">
        <v>15417</v>
      </c>
      <c r="I185" s="279"/>
      <c r="J185" s="279"/>
    </row>
    <row r="186" s="270" customFormat="1" spans="1:10">
      <c r="A186" s="288"/>
      <c r="B186" s="334" t="s">
        <v>416</v>
      </c>
      <c r="C186" s="335" t="s">
        <v>414</v>
      </c>
      <c r="E186" s="328" t="s">
        <v>334</v>
      </c>
      <c r="F186" s="336" t="s">
        <v>415</v>
      </c>
      <c r="G186" s="148">
        <f t="shared" si="3"/>
        <v>27541.7</v>
      </c>
      <c r="H186" s="332">
        <v>16201</v>
      </c>
      <c r="I186" s="279"/>
      <c r="J186" s="279"/>
    </row>
    <row r="187" s="270" customFormat="1" spans="1:10">
      <c r="A187" s="288"/>
      <c r="B187" s="361" t="s">
        <v>417</v>
      </c>
      <c r="C187" s="335" t="s">
        <v>336</v>
      </c>
      <c r="E187" s="362" t="s">
        <v>247</v>
      </c>
      <c r="F187" s="336" t="s">
        <v>415</v>
      </c>
      <c r="G187" s="148">
        <f t="shared" si="3"/>
        <v>7886.3</v>
      </c>
      <c r="H187" s="332">
        <v>4639</v>
      </c>
      <c r="I187" s="279"/>
      <c r="J187" s="279"/>
    </row>
    <row r="188" s="271" customFormat="1" spans="1:10">
      <c r="A188" s="288"/>
      <c r="B188" s="363" t="s">
        <v>418</v>
      </c>
      <c r="C188" s="335" t="s">
        <v>339</v>
      </c>
      <c r="E188" s="328" t="s">
        <v>12</v>
      </c>
      <c r="F188" s="337" t="s">
        <v>415</v>
      </c>
      <c r="G188" s="148">
        <f t="shared" si="3"/>
        <v>9339.8</v>
      </c>
      <c r="H188" s="332">
        <v>5494</v>
      </c>
      <c r="I188" s="279"/>
      <c r="J188" s="279"/>
    </row>
    <row r="189" s="270" customFormat="1" spans="1:10">
      <c r="A189" s="288"/>
      <c r="B189" s="334" t="s">
        <v>419</v>
      </c>
      <c r="C189" s="335" t="s">
        <v>420</v>
      </c>
      <c r="E189" s="328" t="s">
        <v>421</v>
      </c>
      <c r="F189" s="336" t="s">
        <v>422</v>
      </c>
      <c r="G189" s="148">
        <f t="shared" si="3"/>
        <v>13243</v>
      </c>
      <c r="H189" s="332">
        <v>7790</v>
      </c>
      <c r="I189" s="279"/>
      <c r="J189" s="279"/>
    </row>
    <row r="190" s="270" customFormat="1" spans="1:10">
      <c r="A190" s="288"/>
      <c r="B190" s="334" t="s">
        <v>423</v>
      </c>
      <c r="C190" s="335" t="s">
        <v>420</v>
      </c>
      <c r="E190" s="328" t="s">
        <v>424</v>
      </c>
      <c r="F190" s="336" t="s">
        <v>422</v>
      </c>
      <c r="G190" s="148">
        <f t="shared" si="3"/>
        <v>15611.1</v>
      </c>
      <c r="H190" s="332">
        <v>9183</v>
      </c>
      <c r="I190" s="279"/>
      <c r="J190" s="279"/>
    </row>
    <row r="191" s="270" customFormat="1" spans="1:10">
      <c r="A191" s="288"/>
      <c r="B191" s="334" t="s">
        <v>425</v>
      </c>
      <c r="C191" s="335" t="s">
        <v>420</v>
      </c>
      <c r="E191" s="328" t="s">
        <v>426</v>
      </c>
      <c r="F191" s="336" t="s">
        <v>422</v>
      </c>
      <c r="G191" s="148">
        <f t="shared" si="3"/>
        <v>21542.4</v>
      </c>
      <c r="H191" s="332">
        <v>12672</v>
      </c>
      <c r="I191" s="279"/>
      <c r="J191" s="279"/>
    </row>
    <row r="192" s="270" customFormat="1" spans="1:10">
      <c r="A192" s="288"/>
      <c r="B192" s="98" t="s">
        <v>427</v>
      </c>
      <c r="C192" s="98" t="s">
        <v>428</v>
      </c>
      <c r="D192" s="291"/>
      <c r="E192" s="21" t="s">
        <v>126</v>
      </c>
      <c r="F192" s="364" t="s">
        <v>429</v>
      </c>
      <c r="G192" s="148">
        <f t="shared" si="3"/>
        <v>47216.9333333334</v>
      </c>
      <c r="H192" s="365">
        <v>27774.6666666667</v>
      </c>
      <c r="I192" s="279"/>
      <c r="J192" s="279"/>
    </row>
    <row r="193" s="270" customFormat="1" spans="1:10">
      <c r="A193" s="288"/>
      <c r="B193" s="98" t="s">
        <v>430</v>
      </c>
      <c r="C193" s="98" t="s">
        <v>431</v>
      </c>
      <c r="D193" s="291"/>
      <c r="E193" s="21" t="s">
        <v>147</v>
      </c>
      <c r="F193" s="364" t="s">
        <v>429</v>
      </c>
      <c r="G193" s="148">
        <f t="shared" si="3"/>
        <v>53110.2666666666</v>
      </c>
      <c r="H193" s="365">
        <v>31241.3333333333</v>
      </c>
      <c r="I193" s="279"/>
      <c r="J193" s="279"/>
    </row>
    <row r="194" s="270" customFormat="1" spans="1:10">
      <c r="A194" s="288"/>
      <c r="B194" s="98" t="s">
        <v>432</v>
      </c>
      <c r="C194" s="98" t="s">
        <v>352</v>
      </c>
      <c r="D194" s="291"/>
      <c r="E194" s="21" t="s">
        <v>433</v>
      </c>
      <c r="F194" s="364" t="s">
        <v>429</v>
      </c>
      <c r="G194" s="148">
        <f t="shared" si="3"/>
        <v>40201.6</v>
      </c>
      <c r="H194" s="365">
        <v>23648</v>
      </c>
      <c r="I194" s="279"/>
      <c r="J194" s="279"/>
    </row>
    <row r="195" s="270" customFormat="1" spans="1:10">
      <c r="A195" s="288"/>
      <c r="B195" s="98" t="s">
        <v>434</v>
      </c>
      <c r="C195" s="98" t="s">
        <v>435</v>
      </c>
      <c r="D195" s="291"/>
      <c r="E195" s="21" t="s">
        <v>436</v>
      </c>
      <c r="F195" s="364" t="s">
        <v>429</v>
      </c>
      <c r="G195" s="148">
        <f t="shared" si="3"/>
        <v>29029.2</v>
      </c>
      <c r="H195" s="365">
        <v>17076</v>
      </c>
      <c r="I195" s="279"/>
      <c r="J195" s="279"/>
    </row>
    <row r="196" s="270" customFormat="1" spans="1:10">
      <c r="A196" s="288"/>
      <c r="B196" s="98" t="s">
        <v>437</v>
      </c>
      <c r="C196" s="98" t="s">
        <v>136</v>
      </c>
      <c r="D196" s="291"/>
      <c r="E196" s="308" t="s">
        <v>438</v>
      </c>
      <c r="F196" s="364" t="s">
        <v>429</v>
      </c>
      <c r="G196" s="148">
        <f t="shared" si="3"/>
        <v>19758.5333333334</v>
      </c>
      <c r="H196" s="365">
        <v>11622.6666666667</v>
      </c>
      <c r="I196" s="279"/>
      <c r="J196" s="279"/>
    </row>
    <row r="197" s="270" customFormat="1" spans="1:10">
      <c r="A197" s="288"/>
      <c r="B197" s="98" t="s">
        <v>439</v>
      </c>
      <c r="C197" s="98" t="s">
        <v>139</v>
      </c>
      <c r="D197" s="291"/>
      <c r="E197" s="308" t="s">
        <v>440</v>
      </c>
      <c r="F197" s="364" t="s">
        <v>429</v>
      </c>
      <c r="G197" s="148">
        <f t="shared" si="3"/>
        <v>5378.8</v>
      </c>
      <c r="H197" s="365">
        <v>3164</v>
      </c>
      <c r="I197" s="279"/>
      <c r="J197" s="279"/>
    </row>
    <row r="198" s="270" customFormat="1" spans="1:10">
      <c r="A198" s="288"/>
      <c r="B198" s="98" t="s">
        <v>441</v>
      </c>
      <c r="C198" s="98" t="s">
        <v>442</v>
      </c>
      <c r="D198" s="291"/>
      <c r="E198" s="21" t="s">
        <v>126</v>
      </c>
      <c r="F198" s="364" t="s">
        <v>443</v>
      </c>
      <c r="G198" s="148">
        <f t="shared" si="3"/>
        <v>48350.2666666666</v>
      </c>
      <c r="H198" s="367">
        <v>28441.3333333333</v>
      </c>
      <c r="I198" s="279"/>
      <c r="J198" s="279"/>
    </row>
    <row r="199" s="270" customFormat="1" spans="1:10">
      <c r="A199" s="288"/>
      <c r="B199" s="98" t="s">
        <v>444</v>
      </c>
      <c r="C199" s="98" t="s">
        <v>431</v>
      </c>
      <c r="D199" s="291"/>
      <c r="E199" s="21" t="s">
        <v>147</v>
      </c>
      <c r="F199" s="364" t="s">
        <v>443</v>
      </c>
      <c r="G199" s="148">
        <f t="shared" si="3"/>
        <v>54243.6</v>
      </c>
      <c r="H199" s="367">
        <v>31908</v>
      </c>
      <c r="I199" s="279"/>
      <c r="J199" s="279"/>
    </row>
    <row r="200" s="270" customFormat="1" spans="1:10">
      <c r="A200" s="288"/>
      <c r="B200" s="98" t="s">
        <v>445</v>
      </c>
      <c r="C200" s="98" t="s">
        <v>352</v>
      </c>
      <c r="D200" s="291"/>
      <c r="E200" s="21" t="s">
        <v>433</v>
      </c>
      <c r="F200" s="364" t="s">
        <v>443</v>
      </c>
      <c r="G200" s="148">
        <f t="shared" si="3"/>
        <v>40994.9333333334</v>
      </c>
      <c r="H200" s="367">
        <v>24114.6666666667</v>
      </c>
      <c r="I200" s="279"/>
      <c r="J200" s="279"/>
    </row>
    <row r="201" s="270" customFormat="1" spans="1:10">
      <c r="A201" s="288"/>
      <c r="B201" s="98" t="s">
        <v>446</v>
      </c>
      <c r="C201" s="98" t="s">
        <v>435</v>
      </c>
      <c r="D201" s="291"/>
      <c r="E201" s="21" t="s">
        <v>436</v>
      </c>
      <c r="F201" s="364" t="s">
        <v>443</v>
      </c>
      <c r="G201" s="148">
        <f t="shared" ref="G201:G264" si="4">H201*1.7</f>
        <v>29595.8666666666</v>
      </c>
      <c r="H201" s="367">
        <v>17409.3333333333</v>
      </c>
      <c r="I201" s="279"/>
      <c r="J201" s="279"/>
    </row>
    <row r="202" s="270" customFormat="1" spans="1:10">
      <c r="A202" s="288"/>
      <c r="B202" s="98" t="s">
        <v>447</v>
      </c>
      <c r="C202" s="98" t="s">
        <v>136</v>
      </c>
      <c r="D202" s="291"/>
      <c r="E202" s="308" t="s">
        <v>438</v>
      </c>
      <c r="F202" s="364" t="s">
        <v>443</v>
      </c>
      <c r="G202" s="148">
        <f t="shared" si="4"/>
        <v>20098.5333333334</v>
      </c>
      <c r="H202" s="368">
        <v>11822.6666666667</v>
      </c>
      <c r="I202" s="279"/>
      <c r="J202" s="279"/>
    </row>
    <row r="203" s="270" customFormat="1" spans="1:10">
      <c r="A203" s="288"/>
      <c r="B203" s="98" t="s">
        <v>448</v>
      </c>
      <c r="C203" s="98" t="s">
        <v>139</v>
      </c>
      <c r="D203" s="291"/>
      <c r="E203" s="308" t="s">
        <v>440</v>
      </c>
      <c r="F203" s="364" t="s">
        <v>443</v>
      </c>
      <c r="G203" s="148">
        <f t="shared" si="4"/>
        <v>5492.13333333334</v>
      </c>
      <c r="H203" s="368">
        <v>3230.66666666667</v>
      </c>
      <c r="I203" s="279"/>
      <c r="J203" s="279"/>
    </row>
    <row r="204" s="270" customFormat="1" spans="1:10">
      <c r="A204" s="288"/>
      <c r="B204" s="98" t="s">
        <v>449</v>
      </c>
      <c r="C204" s="98" t="s">
        <v>442</v>
      </c>
      <c r="D204" s="291"/>
      <c r="E204" s="21" t="s">
        <v>126</v>
      </c>
      <c r="F204" s="364" t="s">
        <v>429</v>
      </c>
      <c r="G204" s="148">
        <f t="shared" si="4"/>
        <v>52951.6</v>
      </c>
      <c r="H204" s="369">
        <v>31148</v>
      </c>
      <c r="I204" s="279"/>
      <c r="J204" s="279"/>
    </row>
    <row r="205" s="270" customFormat="1" spans="1:10">
      <c r="A205" s="288"/>
      <c r="B205" s="98" t="s">
        <v>450</v>
      </c>
      <c r="C205" s="98" t="s">
        <v>431</v>
      </c>
      <c r="D205" s="291"/>
      <c r="E205" s="21" t="s">
        <v>147</v>
      </c>
      <c r="F205" s="364" t="s">
        <v>429</v>
      </c>
      <c r="G205" s="148">
        <f t="shared" si="4"/>
        <v>59663.2</v>
      </c>
      <c r="H205" s="369">
        <v>35096</v>
      </c>
      <c r="I205" s="279"/>
      <c r="J205" s="279"/>
    </row>
    <row r="206" s="270" customFormat="1" spans="1:10">
      <c r="A206" s="288"/>
      <c r="B206" s="98" t="s">
        <v>451</v>
      </c>
      <c r="C206" s="98" t="s">
        <v>352</v>
      </c>
      <c r="D206" s="291"/>
      <c r="E206" s="21" t="s">
        <v>433</v>
      </c>
      <c r="F206" s="364" t="s">
        <v>429</v>
      </c>
      <c r="G206" s="148">
        <f t="shared" si="4"/>
        <v>39390.1333333334</v>
      </c>
      <c r="H206" s="369">
        <v>23170.6666666667</v>
      </c>
      <c r="I206" s="279"/>
      <c r="J206" s="279"/>
    </row>
    <row r="207" s="270" customFormat="1" spans="1:10">
      <c r="A207" s="288"/>
      <c r="B207" s="98" t="s">
        <v>452</v>
      </c>
      <c r="C207" s="98" t="s">
        <v>435</v>
      </c>
      <c r="D207" s="291"/>
      <c r="E207" s="21" t="s">
        <v>436</v>
      </c>
      <c r="F207" s="364" t="s">
        <v>429</v>
      </c>
      <c r="G207" s="148">
        <f t="shared" si="4"/>
        <v>28315.2</v>
      </c>
      <c r="H207" s="369">
        <v>16656</v>
      </c>
      <c r="I207" s="279"/>
      <c r="J207" s="279"/>
    </row>
    <row r="208" s="270" customFormat="1" spans="1:10">
      <c r="A208" s="288"/>
      <c r="B208" s="98" t="s">
        <v>453</v>
      </c>
      <c r="C208" s="98" t="s">
        <v>136</v>
      </c>
      <c r="D208" s="291"/>
      <c r="E208" s="308" t="s">
        <v>454</v>
      </c>
      <c r="F208" s="364" t="s">
        <v>429</v>
      </c>
      <c r="G208" s="148">
        <f t="shared" si="4"/>
        <v>17117.8666666666</v>
      </c>
      <c r="H208" s="370">
        <v>10069.3333333333</v>
      </c>
      <c r="I208" s="279"/>
      <c r="J208" s="279"/>
    </row>
    <row r="209" s="270" customFormat="1" spans="1:10">
      <c r="A209" s="288"/>
      <c r="B209" s="98" t="s">
        <v>455</v>
      </c>
      <c r="C209" s="98" t="s">
        <v>139</v>
      </c>
      <c r="D209" s="291"/>
      <c r="E209" s="308" t="s">
        <v>456</v>
      </c>
      <c r="F209" s="364" t="s">
        <v>429</v>
      </c>
      <c r="G209" s="148">
        <f t="shared" si="4"/>
        <v>8896.66666666666</v>
      </c>
      <c r="H209" s="371">
        <v>5233.33333333333</v>
      </c>
      <c r="I209" s="279"/>
      <c r="J209" s="279"/>
    </row>
    <row r="210" s="270" customFormat="1" spans="1:10">
      <c r="A210" s="288"/>
      <c r="B210" s="98" t="s">
        <v>457</v>
      </c>
      <c r="C210" s="98" t="s">
        <v>442</v>
      </c>
      <c r="D210" s="291"/>
      <c r="E210" s="21" t="s">
        <v>126</v>
      </c>
      <c r="F210" s="364" t="s">
        <v>458</v>
      </c>
      <c r="G210" s="148">
        <f t="shared" si="4"/>
        <v>54084.9333333334</v>
      </c>
      <c r="H210" s="367">
        <v>31814.6666666667</v>
      </c>
      <c r="I210" s="279"/>
      <c r="J210" s="279"/>
    </row>
    <row r="211" s="270" customFormat="1" spans="1:10">
      <c r="A211" s="288"/>
      <c r="B211" s="98" t="s">
        <v>459</v>
      </c>
      <c r="C211" s="98" t="s">
        <v>431</v>
      </c>
      <c r="D211" s="291"/>
      <c r="E211" s="21" t="s">
        <v>147</v>
      </c>
      <c r="F211" s="364" t="s">
        <v>458</v>
      </c>
      <c r="G211" s="148">
        <f t="shared" si="4"/>
        <v>60796.5333333334</v>
      </c>
      <c r="H211" s="367">
        <v>35762.6666666667</v>
      </c>
      <c r="I211" s="279"/>
      <c r="J211" s="279"/>
    </row>
    <row r="212" s="270" customFormat="1" spans="1:10">
      <c r="A212" s="288"/>
      <c r="B212" s="98" t="s">
        <v>460</v>
      </c>
      <c r="C212" s="98" t="s">
        <v>352</v>
      </c>
      <c r="D212" s="291"/>
      <c r="E212" s="21" t="s">
        <v>433</v>
      </c>
      <c r="F212" s="364" t="s">
        <v>458</v>
      </c>
      <c r="G212" s="148">
        <f t="shared" si="4"/>
        <v>40183.4666666666</v>
      </c>
      <c r="H212" s="367">
        <v>23637.3333333333</v>
      </c>
      <c r="I212" s="279"/>
      <c r="J212" s="279"/>
    </row>
    <row r="213" s="270" customFormat="1" spans="1:10">
      <c r="A213" s="288"/>
      <c r="B213" s="98" t="s">
        <v>461</v>
      </c>
      <c r="C213" s="98" t="s">
        <v>435</v>
      </c>
      <c r="D213" s="291"/>
      <c r="E213" s="21" t="s">
        <v>436</v>
      </c>
      <c r="F213" s="364" t="s">
        <v>458</v>
      </c>
      <c r="G213" s="148">
        <f t="shared" si="4"/>
        <v>28881.8666666666</v>
      </c>
      <c r="H213" s="367">
        <v>16989.3333333333</v>
      </c>
      <c r="I213" s="279"/>
      <c r="J213" s="279"/>
    </row>
    <row r="214" s="270" customFormat="1" spans="1:10">
      <c r="A214" s="288"/>
      <c r="B214" s="98" t="s">
        <v>462</v>
      </c>
      <c r="C214" s="98" t="s">
        <v>136</v>
      </c>
      <c r="D214" s="291"/>
      <c r="E214" s="308" t="s">
        <v>454</v>
      </c>
      <c r="F214" s="364" t="s">
        <v>458</v>
      </c>
      <c r="G214" s="148">
        <f t="shared" si="4"/>
        <v>17457.8666666666</v>
      </c>
      <c r="H214" s="368">
        <v>10269.3333333333</v>
      </c>
      <c r="I214" s="279"/>
      <c r="J214" s="279"/>
    </row>
    <row r="215" s="270" customFormat="1" spans="1:10">
      <c r="A215" s="288"/>
      <c r="B215" s="98" t="s">
        <v>463</v>
      </c>
      <c r="C215" s="98" t="s">
        <v>139</v>
      </c>
      <c r="D215" s="291"/>
      <c r="E215" s="308" t="s">
        <v>456</v>
      </c>
      <c r="F215" s="364" t="s">
        <v>458</v>
      </c>
      <c r="G215" s="148">
        <f t="shared" si="4"/>
        <v>9010</v>
      </c>
      <c r="H215" s="365">
        <v>5300</v>
      </c>
      <c r="I215" s="279"/>
      <c r="J215" s="279"/>
    </row>
    <row r="216" s="270" customFormat="1" spans="1:10">
      <c r="A216" s="288"/>
      <c r="B216" s="98" t="s">
        <v>464</v>
      </c>
      <c r="C216" s="98" t="s">
        <v>442</v>
      </c>
      <c r="D216" s="291"/>
      <c r="E216" s="21" t="s">
        <v>126</v>
      </c>
      <c r="F216" s="364" t="s">
        <v>429</v>
      </c>
      <c r="G216" s="148">
        <f t="shared" si="4"/>
        <v>47781.3333333334</v>
      </c>
      <c r="H216" s="372">
        <v>28106.6666666667</v>
      </c>
      <c r="I216" s="279"/>
      <c r="J216" s="279"/>
    </row>
    <row r="217" s="270" customFormat="1" spans="1:10">
      <c r="A217" s="288"/>
      <c r="B217" s="98" t="s">
        <v>465</v>
      </c>
      <c r="C217" s="98" t="s">
        <v>431</v>
      </c>
      <c r="D217" s="291"/>
      <c r="E217" s="21" t="s">
        <v>147</v>
      </c>
      <c r="F217" s="364" t="s">
        <v>429</v>
      </c>
      <c r="G217" s="148">
        <f t="shared" si="4"/>
        <v>53606.6666666666</v>
      </c>
      <c r="H217" s="372">
        <v>31533.3333333333</v>
      </c>
      <c r="I217" s="279"/>
      <c r="J217" s="279"/>
    </row>
    <row r="218" s="270" customFormat="1" spans="1:10">
      <c r="A218" s="288"/>
      <c r="B218" s="98" t="s">
        <v>466</v>
      </c>
      <c r="C218" s="98" t="s">
        <v>352</v>
      </c>
      <c r="D218" s="291"/>
      <c r="E218" s="21" t="s">
        <v>467</v>
      </c>
      <c r="F218" s="364" t="s">
        <v>429</v>
      </c>
      <c r="G218" s="148">
        <f t="shared" si="4"/>
        <v>40167.6</v>
      </c>
      <c r="H218" s="372">
        <v>23628</v>
      </c>
      <c r="I218" s="279"/>
      <c r="J218" s="279"/>
    </row>
    <row r="219" s="270" customFormat="1" spans="1:10">
      <c r="A219" s="288"/>
      <c r="B219" s="98" t="s">
        <v>468</v>
      </c>
      <c r="C219" s="98" t="s">
        <v>435</v>
      </c>
      <c r="D219" s="291"/>
      <c r="E219" s="21" t="s">
        <v>469</v>
      </c>
      <c r="F219" s="364" t="s">
        <v>429</v>
      </c>
      <c r="G219" s="148">
        <f t="shared" si="4"/>
        <v>28453.4666666666</v>
      </c>
      <c r="H219" s="372">
        <v>16737.3333333333</v>
      </c>
      <c r="I219" s="279"/>
      <c r="J219" s="279"/>
    </row>
    <row r="220" s="270" customFormat="1" spans="1:10">
      <c r="A220" s="288"/>
      <c r="B220" s="98" t="s">
        <v>470</v>
      </c>
      <c r="C220" s="98" t="s">
        <v>136</v>
      </c>
      <c r="D220" s="291"/>
      <c r="E220" s="308" t="s">
        <v>471</v>
      </c>
      <c r="F220" s="364" t="s">
        <v>429</v>
      </c>
      <c r="G220" s="148">
        <f t="shared" si="4"/>
        <v>17496.4</v>
      </c>
      <c r="H220" s="368">
        <v>10292</v>
      </c>
      <c r="I220" s="279"/>
      <c r="J220" s="279"/>
    </row>
    <row r="221" s="270" customFormat="1" spans="1:10">
      <c r="A221" s="288"/>
      <c r="B221" s="98" t="s">
        <v>472</v>
      </c>
      <c r="C221" s="98" t="s">
        <v>139</v>
      </c>
      <c r="D221" s="291"/>
      <c r="E221" s="308" t="s">
        <v>473</v>
      </c>
      <c r="F221" s="364" t="s">
        <v>429</v>
      </c>
      <c r="G221" s="148">
        <f t="shared" si="4"/>
        <v>7266.93333333334</v>
      </c>
      <c r="H221" s="365">
        <v>4274.66666666667</v>
      </c>
      <c r="I221" s="279"/>
      <c r="J221" s="279"/>
    </row>
    <row r="222" s="270" customFormat="1" spans="1:10">
      <c r="A222" s="288"/>
      <c r="B222" s="98" t="s">
        <v>474</v>
      </c>
      <c r="C222" s="98" t="s">
        <v>442</v>
      </c>
      <c r="D222" s="291"/>
      <c r="E222" s="21" t="s">
        <v>126</v>
      </c>
      <c r="F222" s="364" t="s">
        <v>475</v>
      </c>
      <c r="G222" s="148">
        <f t="shared" si="4"/>
        <v>48914.6666666666</v>
      </c>
      <c r="H222" s="367">
        <v>28773.3333333333</v>
      </c>
      <c r="I222" s="279"/>
      <c r="J222" s="279"/>
    </row>
    <row r="223" s="270" customFormat="1" spans="1:10">
      <c r="A223" s="288"/>
      <c r="B223" s="98" t="s">
        <v>476</v>
      </c>
      <c r="C223" s="98" t="s">
        <v>431</v>
      </c>
      <c r="D223" s="291"/>
      <c r="E223" s="21" t="s">
        <v>147</v>
      </c>
      <c r="F223" s="364" t="s">
        <v>475</v>
      </c>
      <c r="G223" s="148">
        <f t="shared" si="4"/>
        <v>54740</v>
      </c>
      <c r="H223" s="367">
        <v>32200</v>
      </c>
      <c r="I223" s="279"/>
      <c r="J223" s="279"/>
    </row>
    <row r="224" s="270" customFormat="1" spans="1:10">
      <c r="A224" s="288"/>
      <c r="B224" s="98" t="s">
        <v>477</v>
      </c>
      <c r="C224" s="98" t="s">
        <v>352</v>
      </c>
      <c r="D224" s="291"/>
      <c r="E224" s="21" t="s">
        <v>467</v>
      </c>
      <c r="F224" s="364" t="s">
        <v>475</v>
      </c>
      <c r="G224" s="148">
        <f t="shared" si="4"/>
        <v>40960.9333333334</v>
      </c>
      <c r="H224" s="367">
        <v>24094.6666666667</v>
      </c>
      <c r="I224" s="279"/>
      <c r="J224" s="279"/>
    </row>
    <row r="225" s="270" customFormat="1" spans="1:10">
      <c r="A225" s="288"/>
      <c r="B225" s="98" t="s">
        <v>478</v>
      </c>
      <c r="C225" s="98" t="s">
        <v>435</v>
      </c>
      <c r="D225" s="291"/>
      <c r="E225" s="21" t="s">
        <v>469</v>
      </c>
      <c r="F225" s="364" t="s">
        <v>475</v>
      </c>
      <c r="G225" s="148">
        <f t="shared" si="4"/>
        <v>29020.1333333334</v>
      </c>
      <c r="H225" s="367">
        <v>17070.6666666667</v>
      </c>
      <c r="I225" s="279"/>
      <c r="J225" s="279"/>
    </row>
    <row r="226" s="270" customFormat="1" spans="1:10">
      <c r="A226" s="288"/>
      <c r="B226" s="98" t="s">
        <v>479</v>
      </c>
      <c r="C226" s="98" t="s">
        <v>136</v>
      </c>
      <c r="D226" s="291"/>
      <c r="E226" s="308" t="s">
        <v>471</v>
      </c>
      <c r="F226" s="364" t="s">
        <v>475</v>
      </c>
      <c r="G226" s="148">
        <f t="shared" si="4"/>
        <v>17836.4</v>
      </c>
      <c r="H226" s="368">
        <v>10492</v>
      </c>
      <c r="I226" s="279"/>
      <c r="J226" s="279"/>
    </row>
    <row r="227" s="270" customFormat="1" spans="1:10">
      <c r="A227" s="288"/>
      <c r="B227" s="98" t="s">
        <v>480</v>
      </c>
      <c r="C227" s="98" t="s">
        <v>139</v>
      </c>
      <c r="D227" s="291"/>
      <c r="E227" s="308" t="s">
        <v>473</v>
      </c>
      <c r="F227" s="364" t="s">
        <v>475</v>
      </c>
      <c r="G227" s="148">
        <f t="shared" si="4"/>
        <v>7380.26666666666</v>
      </c>
      <c r="H227" s="368">
        <v>4341.33333333333</v>
      </c>
      <c r="I227" s="279"/>
      <c r="J227" s="279"/>
    </row>
    <row r="228" s="270" customFormat="1" spans="1:10">
      <c r="A228" s="288"/>
      <c r="B228" s="98" t="s">
        <v>481</v>
      </c>
      <c r="C228" s="98" t="s">
        <v>442</v>
      </c>
      <c r="D228" s="291"/>
      <c r="E228" s="21" t="s">
        <v>126</v>
      </c>
      <c r="F228" s="364" t="s">
        <v>429</v>
      </c>
      <c r="G228" s="148">
        <f t="shared" si="4"/>
        <v>44132</v>
      </c>
      <c r="H228" s="372">
        <v>25960</v>
      </c>
      <c r="I228" s="279"/>
      <c r="J228" s="279"/>
    </row>
    <row r="229" s="270" customFormat="1" spans="1:10">
      <c r="A229" s="288"/>
      <c r="B229" s="98" t="s">
        <v>482</v>
      </c>
      <c r="C229" s="98" t="s">
        <v>431</v>
      </c>
      <c r="D229" s="291"/>
      <c r="E229" s="21" t="s">
        <v>147</v>
      </c>
      <c r="F229" s="364" t="s">
        <v>429</v>
      </c>
      <c r="G229" s="148">
        <f t="shared" si="4"/>
        <v>49837.2</v>
      </c>
      <c r="H229" s="372">
        <v>29316</v>
      </c>
      <c r="I229" s="279"/>
      <c r="J229" s="279"/>
    </row>
    <row r="230" s="270" customFormat="1" spans="1:10">
      <c r="A230" s="288"/>
      <c r="B230" s="98" t="s">
        <v>483</v>
      </c>
      <c r="C230" s="98" t="s">
        <v>352</v>
      </c>
      <c r="D230" s="291"/>
      <c r="E230" s="21" t="s">
        <v>433</v>
      </c>
      <c r="F230" s="364" t="s">
        <v>429</v>
      </c>
      <c r="G230" s="148">
        <f t="shared" si="4"/>
        <v>38737.3333333334</v>
      </c>
      <c r="H230" s="372">
        <v>22786.6666666667</v>
      </c>
      <c r="I230" s="279"/>
      <c r="J230" s="279"/>
    </row>
    <row r="231" s="270" customFormat="1" spans="1:10">
      <c r="A231" s="288"/>
      <c r="B231" s="98" t="s">
        <v>484</v>
      </c>
      <c r="C231" s="98" t="s">
        <v>435</v>
      </c>
      <c r="D231" s="291"/>
      <c r="E231" s="21" t="s">
        <v>436</v>
      </c>
      <c r="F231" s="364" t="s">
        <v>429</v>
      </c>
      <c r="G231" s="148">
        <f t="shared" si="4"/>
        <v>27875.4666666666</v>
      </c>
      <c r="H231" s="372">
        <v>16397.3333333333</v>
      </c>
      <c r="I231" s="279"/>
      <c r="J231" s="279"/>
    </row>
    <row r="232" s="270" customFormat="1" spans="1:10">
      <c r="A232" s="288"/>
      <c r="B232" s="98" t="s">
        <v>485</v>
      </c>
      <c r="C232" s="98" t="s">
        <v>136</v>
      </c>
      <c r="D232" s="291"/>
      <c r="E232" s="308" t="s">
        <v>486</v>
      </c>
      <c r="F232" s="364" t="s">
        <v>429</v>
      </c>
      <c r="G232" s="148">
        <f t="shared" si="4"/>
        <v>20245.8666666666</v>
      </c>
      <c r="H232" s="368">
        <v>11909.3333333333</v>
      </c>
      <c r="I232" s="279"/>
      <c r="J232" s="279"/>
    </row>
    <row r="233" s="270" customFormat="1" spans="1:10">
      <c r="A233" s="288"/>
      <c r="B233" s="98" t="s">
        <v>487</v>
      </c>
      <c r="C233" s="98" t="s">
        <v>139</v>
      </c>
      <c r="D233" s="291"/>
      <c r="E233" s="308" t="s">
        <v>440</v>
      </c>
      <c r="F233" s="364" t="s">
        <v>429</v>
      </c>
      <c r="G233" s="148">
        <f t="shared" si="4"/>
        <v>4794</v>
      </c>
      <c r="H233" s="368">
        <v>2820</v>
      </c>
      <c r="I233" s="279"/>
      <c r="J233" s="279"/>
    </row>
    <row r="234" s="270" customFormat="1" spans="1:10">
      <c r="A234" s="288"/>
      <c r="B234" s="98" t="s">
        <v>488</v>
      </c>
      <c r="C234" s="98" t="s">
        <v>442</v>
      </c>
      <c r="D234" s="291"/>
      <c r="E234" s="21" t="s">
        <v>126</v>
      </c>
      <c r="F234" s="364" t="s">
        <v>475</v>
      </c>
      <c r="G234" s="148">
        <f t="shared" si="4"/>
        <v>45265.3333333334</v>
      </c>
      <c r="H234" s="367">
        <v>26626.6666666667</v>
      </c>
      <c r="I234" s="279"/>
      <c r="J234" s="279"/>
    </row>
    <row r="235" s="270" customFormat="1" spans="1:10">
      <c r="A235" s="288"/>
      <c r="B235" s="98" t="s">
        <v>489</v>
      </c>
      <c r="C235" s="98" t="s">
        <v>431</v>
      </c>
      <c r="D235" s="291"/>
      <c r="E235" s="21" t="s">
        <v>147</v>
      </c>
      <c r="F235" s="364" t="s">
        <v>475</v>
      </c>
      <c r="G235" s="148">
        <f t="shared" si="4"/>
        <v>50970.5333333334</v>
      </c>
      <c r="H235" s="367">
        <v>29982.6666666667</v>
      </c>
      <c r="I235" s="279"/>
      <c r="J235" s="279"/>
    </row>
    <row r="236" s="270" customFormat="1" spans="1:10">
      <c r="A236" s="288"/>
      <c r="B236" s="98" t="s">
        <v>490</v>
      </c>
      <c r="C236" s="98" t="s">
        <v>352</v>
      </c>
      <c r="D236" s="291"/>
      <c r="E236" s="21" t="s">
        <v>433</v>
      </c>
      <c r="F236" s="364" t="s">
        <v>475</v>
      </c>
      <c r="G236" s="148">
        <f t="shared" si="4"/>
        <v>39530.6666666666</v>
      </c>
      <c r="H236" s="367">
        <v>23253.3333333333</v>
      </c>
      <c r="I236" s="279"/>
      <c r="J236" s="279"/>
    </row>
    <row r="237" s="270" customFormat="1" spans="1:10">
      <c r="A237" s="288"/>
      <c r="B237" s="98" t="s">
        <v>491</v>
      </c>
      <c r="C237" s="98" t="s">
        <v>435</v>
      </c>
      <c r="D237" s="291"/>
      <c r="E237" s="21" t="s">
        <v>436</v>
      </c>
      <c r="F237" s="364" t="s">
        <v>475</v>
      </c>
      <c r="G237" s="148">
        <f t="shared" si="4"/>
        <v>28442.1333333334</v>
      </c>
      <c r="H237" s="367">
        <v>16730.6666666667</v>
      </c>
      <c r="I237" s="279"/>
      <c r="J237" s="279"/>
    </row>
    <row r="238" s="270" customFormat="1" spans="1:10">
      <c r="A238" s="288"/>
      <c r="B238" s="98" t="s">
        <v>492</v>
      </c>
      <c r="C238" s="98" t="s">
        <v>136</v>
      </c>
      <c r="D238" s="291"/>
      <c r="E238" s="308" t="s">
        <v>486</v>
      </c>
      <c r="F238" s="364" t="s">
        <v>475</v>
      </c>
      <c r="G238" s="148">
        <f t="shared" si="4"/>
        <v>20585.8666666666</v>
      </c>
      <c r="H238" s="368">
        <v>12109.3333333333</v>
      </c>
      <c r="I238" s="279"/>
      <c r="J238" s="279"/>
    </row>
    <row r="239" s="270" customFormat="1" spans="1:10">
      <c r="A239" s="288"/>
      <c r="B239" s="98" t="s">
        <v>493</v>
      </c>
      <c r="C239" s="98" t="s">
        <v>139</v>
      </c>
      <c r="D239" s="291"/>
      <c r="E239" s="308" t="s">
        <v>440</v>
      </c>
      <c r="F239" s="364" t="s">
        <v>475</v>
      </c>
      <c r="G239" s="148">
        <f t="shared" si="4"/>
        <v>4907.33333333334</v>
      </c>
      <c r="H239" s="368">
        <v>2886.66666666667</v>
      </c>
      <c r="I239" s="279"/>
      <c r="J239" s="279"/>
    </row>
    <row r="240" s="270" customFormat="1" spans="1:10">
      <c r="A240" s="288"/>
      <c r="B240" s="98" t="s">
        <v>494</v>
      </c>
      <c r="C240" s="98" t="s">
        <v>442</v>
      </c>
      <c r="D240" s="291"/>
      <c r="E240" s="21" t="s">
        <v>126</v>
      </c>
      <c r="F240" s="364" t="s">
        <v>429</v>
      </c>
      <c r="G240" s="148">
        <f t="shared" si="4"/>
        <v>49159.4666666666</v>
      </c>
      <c r="H240" s="372">
        <v>28917.3333333333</v>
      </c>
      <c r="I240" s="279"/>
      <c r="J240" s="279"/>
    </row>
    <row r="241" s="270" customFormat="1" spans="1:10">
      <c r="A241" s="288"/>
      <c r="B241" s="98" t="s">
        <v>495</v>
      </c>
      <c r="C241" s="98" t="s">
        <v>431</v>
      </c>
      <c r="D241" s="291"/>
      <c r="E241" s="21" t="s">
        <v>147</v>
      </c>
      <c r="F241" s="364" t="s">
        <v>429</v>
      </c>
      <c r="G241" s="148">
        <f t="shared" si="4"/>
        <v>55682.9333333334</v>
      </c>
      <c r="H241" s="372">
        <v>32754.6666666667</v>
      </c>
      <c r="I241" s="279"/>
      <c r="J241" s="279"/>
    </row>
    <row r="242" s="270" customFormat="1" spans="1:10">
      <c r="A242" s="288"/>
      <c r="B242" s="98" t="s">
        <v>496</v>
      </c>
      <c r="C242" s="98" t="s">
        <v>352</v>
      </c>
      <c r="D242" s="291"/>
      <c r="E242" s="21" t="s">
        <v>497</v>
      </c>
      <c r="F242" s="364" t="s">
        <v>429</v>
      </c>
      <c r="G242" s="148">
        <f t="shared" si="4"/>
        <v>40067.8666666666</v>
      </c>
      <c r="H242" s="372">
        <v>23569.3333333333</v>
      </c>
      <c r="I242" s="279"/>
      <c r="J242" s="279"/>
    </row>
    <row r="243" s="270" customFormat="1" spans="1:10">
      <c r="A243" s="288"/>
      <c r="B243" s="98" t="s">
        <v>498</v>
      </c>
      <c r="C243" s="98" t="s">
        <v>435</v>
      </c>
      <c r="D243" s="291"/>
      <c r="E243" s="21" t="s">
        <v>499</v>
      </c>
      <c r="F243" s="364" t="s">
        <v>429</v>
      </c>
      <c r="G243" s="148">
        <f t="shared" si="4"/>
        <v>28979.3333333334</v>
      </c>
      <c r="H243" s="372">
        <v>17046.6666666667</v>
      </c>
      <c r="I243" s="279"/>
      <c r="J243" s="279"/>
    </row>
    <row r="244" s="270" customFormat="1" spans="1:10">
      <c r="A244" s="288"/>
      <c r="B244" s="98" t="s">
        <v>500</v>
      </c>
      <c r="C244" s="98" t="s">
        <v>136</v>
      </c>
      <c r="D244" s="291"/>
      <c r="E244" s="308" t="s">
        <v>471</v>
      </c>
      <c r="F244" s="364" t="s">
        <v>429</v>
      </c>
      <c r="G244" s="148">
        <f t="shared" si="4"/>
        <v>16984.1333333333</v>
      </c>
      <c r="H244" s="368">
        <v>9990.66666666667</v>
      </c>
      <c r="I244" s="279"/>
      <c r="J244" s="279"/>
    </row>
    <row r="245" s="270" customFormat="1" spans="1:10">
      <c r="A245" s="288"/>
      <c r="B245" s="98" t="s">
        <v>501</v>
      </c>
      <c r="C245" s="98" t="s">
        <v>139</v>
      </c>
      <c r="D245" s="291"/>
      <c r="E245" s="308" t="s">
        <v>502</v>
      </c>
      <c r="F245" s="364" t="s">
        <v>429</v>
      </c>
      <c r="G245" s="148">
        <f t="shared" si="4"/>
        <v>6564.26666666666</v>
      </c>
      <c r="H245" s="368">
        <v>3861.33333333333</v>
      </c>
      <c r="I245" s="279"/>
      <c r="J245" s="279"/>
    </row>
    <row r="246" s="270" customFormat="1" spans="1:10">
      <c r="A246" s="288"/>
      <c r="B246" s="98" t="s">
        <v>503</v>
      </c>
      <c r="C246" s="98" t="s">
        <v>442</v>
      </c>
      <c r="D246" s="291"/>
      <c r="E246" s="21" t="s">
        <v>126</v>
      </c>
      <c r="F246" s="364" t="s">
        <v>504</v>
      </c>
      <c r="G246" s="148">
        <f t="shared" si="4"/>
        <v>50292.8</v>
      </c>
      <c r="H246" s="367">
        <v>29584</v>
      </c>
      <c r="I246" s="279"/>
      <c r="J246" s="279"/>
    </row>
    <row r="247" s="270" customFormat="1" spans="1:10">
      <c r="A247" s="288"/>
      <c r="B247" s="98" t="s">
        <v>505</v>
      </c>
      <c r="C247" s="98" t="s">
        <v>431</v>
      </c>
      <c r="D247" s="291"/>
      <c r="E247" s="21" t="s">
        <v>147</v>
      </c>
      <c r="F247" s="364" t="s">
        <v>504</v>
      </c>
      <c r="G247" s="148">
        <f t="shared" si="4"/>
        <v>56816.2666666666</v>
      </c>
      <c r="H247" s="367">
        <v>33421.3333333333</v>
      </c>
      <c r="I247" s="279"/>
      <c r="J247" s="279"/>
    </row>
    <row r="248" s="270" customFormat="1" spans="1:10">
      <c r="A248" s="288"/>
      <c r="B248" s="98" t="s">
        <v>506</v>
      </c>
      <c r="C248" s="98" t="s">
        <v>352</v>
      </c>
      <c r="D248" s="291"/>
      <c r="E248" s="21" t="s">
        <v>497</v>
      </c>
      <c r="F248" s="364" t="s">
        <v>504</v>
      </c>
      <c r="G248" s="148">
        <f t="shared" si="4"/>
        <v>40861.2</v>
      </c>
      <c r="H248" s="367">
        <v>24036</v>
      </c>
      <c r="I248" s="279"/>
      <c r="J248" s="279"/>
    </row>
    <row r="249" s="270" customFormat="1" spans="1:10">
      <c r="A249" s="288"/>
      <c r="B249" s="98" t="s">
        <v>507</v>
      </c>
      <c r="C249" s="98" t="s">
        <v>435</v>
      </c>
      <c r="D249" s="291"/>
      <c r="E249" s="21" t="s">
        <v>499</v>
      </c>
      <c r="F249" s="364" t="s">
        <v>504</v>
      </c>
      <c r="G249" s="148">
        <f t="shared" si="4"/>
        <v>29546</v>
      </c>
      <c r="H249" s="367">
        <v>17380</v>
      </c>
      <c r="I249" s="279"/>
      <c r="J249" s="279"/>
    </row>
    <row r="250" s="270" customFormat="1" spans="1:10">
      <c r="A250" s="288"/>
      <c r="B250" s="98" t="s">
        <v>508</v>
      </c>
      <c r="C250" s="98" t="s">
        <v>136</v>
      </c>
      <c r="D250" s="291"/>
      <c r="E250" s="308" t="s">
        <v>471</v>
      </c>
      <c r="F250" s="364" t="s">
        <v>504</v>
      </c>
      <c r="G250" s="148">
        <f t="shared" si="4"/>
        <v>17324.1333333334</v>
      </c>
      <c r="H250" s="368">
        <v>10190.6666666667</v>
      </c>
      <c r="I250" s="279"/>
      <c r="J250" s="279"/>
    </row>
    <row r="251" s="270" customFormat="1" spans="1:10">
      <c r="A251" s="288"/>
      <c r="B251" s="98" t="s">
        <v>509</v>
      </c>
      <c r="C251" s="98" t="s">
        <v>139</v>
      </c>
      <c r="D251" s="291"/>
      <c r="E251" s="308" t="s">
        <v>502</v>
      </c>
      <c r="F251" s="364" t="s">
        <v>504</v>
      </c>
      <c r="G251" s="148">
        <f t="shared" si="4"/>
        <v>6677.6</v>
      </c>
      <c r="H251" s="368">
        <v>3928</v>
      </c>
      <c r="I251" s="279"/>
      <c r="J251" s="279"/>
    </row>
    <row r="252" s="270" customFormat="1" spans="1:10">
      <c r="A252" s="288"/>
      <c r="B252" s="98" t="s">
        <v>510</v>
      </c>
      <c r="C252" s="98" t="s">
        <v>442</v>
      </c>
      <c r="D252" s="291"/>
      <c r="E252" s="21" t="s">
        <v>126</v>
      </c>
      <c r="F252" s="364" t="s">
        <v>429</v>
      </c>
      <c r="G252" s="148">
        <f t="shared" si="4"/>
        <v>48411.4666666666</v>
      </c>
      <c r="H252" s="372">
        <v>28477.3333333333</v>
      </c>
      <c r="I252" s="279"/>
      <c r="J252" s="279"/>
    </row>
    <row r="253" s="270" customFormat="1" spans="1:10">
      <c r="A253" s="288"/>
      <c r="B253" s="98" t="s">
        <v>511</v>
      </c>
      <c r="C253" s="98" t="s">
        <v>431</v>
      </c>
      <c r="D253" s="291"/>
      <c r="E253" s="21" t="s">
        <v>147</v>
      </c>
      <c r="F253" s="364" t="s">
        <v>429</v>
      </c>
      <c r="G253" s="148">
        <f t="shared" si="4"/>
        <v>54706</v>
      </c>
      <c r="H253" s="372">
        <v>32180</v>
      </c>
      <c r="I253" s="279"/>
      <c r="J253" s="279"/>
    </row>
    <row r="254" s="270" customFormat="1" spans="1:10">
      <c r="A254" s="288"/>
      <c r="B254" s="98" t="s">
        <v>512</v>
      </c>
      <c r="C254" s="98" t="s">
        <v>352</v>
      </c>
      <c r="D254" s="291"/>
      <c r="E254" s="21" t="s">
        <v>497</v>
      </c>
      <c r="F254" s="364" t="s">
        <v>429</v>
      </c>
      <c r="G254" s="148">
        <f t="shared" si="4"/>
        <v>37887.3333333334</v>
      </c>
      <c r="H254" s="372">
        <v>22286.6666666667</v>
      </c>
      <c r="I254" s="279"/>
      <c r="J254" s="279"/>
    </row>
    <row r="255" s="270" customFormat="1" spans="1:10">
      <c r="A255" s="288"/>
      <c r="B255" s="98" t="s">
        <v>513</v>
      </c>
      <c r="C255" s="98" t="s">
        <v>435</v>
      </c>
      <c r="D255" s="291"/>
      <c r="E255" s="21" t="s">
        <v>499</v>
      </c>
      <c r="F255" s="364" t="s">
        <v>429</v>
      </c>
      <c r="G255" s="148">
        <f t="shared" si="4"/>
        <v>27730.4</v>
      </c>
      <c r="H255" s="372">
        <v>16312</v>
      </c>
      <c r="I255" s="279"/>
      <c r="J255" s="279"/>
    </row>
    <row r="256" s="270" customFormat="1" spans="1:10">
      <c r="A256" s="288"/>
      <c r="B256" s="98" t="s">
        <v>514</v>
      </c>
      <c r="C256" s="98" t="s">
        <v>136</v>
      </c>
      <c r="D256" s="291"/>
      <c r="E256" s="308" t="s">
        <v>515</v>
      </c>
      <c r="F256" s="364" t="s">
        <v>429</v>
      </c>
      <c r="G256" s="148">
        <f t="shared" si="4"/>
        <v>19393.6</v>
      </c>
      <c r="H256" s="368">
        <v>11408</v>
      </c>
      <c r="I256" s="279"/>
      <c r="J256" s="279"/>
    </row>
    <row r="257" s="270" customFormat="1" spans="1:10">
      <c r="A257" s="288"/>
      <c r="B257" s="98" t="s">
        <v>516</v>
      </c>
      <c r="C257" s="98" t="s">
        <v>139</v>
      </c>
      <c r="D257" s="291"/>
      <c r="E257" s="308" t="s">
        <v>440</v>
      </c>
      <c r="F257" s="364" t="s">
        <v>429</v>
      </c>
      <c r="G257" s="148">
        <f t="shared" si="4"/>
        <v>6428.26666666666</v>
      </c>
      <c r="H257" s="365">
        <v>3781.33333333333</v>
      </c>
      <c r="I257" s="279"/>
      <c r="J257" s="279"/>
    </row>
    <row r="258" s="270" customFormat="1" spans="1:10">
      <c r="A258" s="288"/>
      <c r="B258" s="98" t="s">
        <v>517</v>
      </c>
      <c r="C258" s="98" t="s">
        <v>442</v>
      </c>
      <c r="D258" s="291"/>
      <c r="E258" s="21" t="s">
        <v>126</v>
      </c>
      <c r="F258" s="364" t="s">
        <v>458</v>
      </c>
      <c r="G258" s="148">
        <f t="shared" si="4"/>
        <v>49544.8</v>
      </c>
      <c r="H258" s="367">
        <v>29144</v>
      </c>
      <c r="I258" s="279"/>
      <c r="J258" s="279"/>
    </row>
    <row r="259" s="270" customFormat="1" spans="1:10">
      <c r="A259" s="288"/>
      <c r="B259" s="98" t="s">
        <v>518</v>
      </c>
      <c r="C259" s="98" t="s">
        <v>431</v>
      </c>
      <c r="D259" s="291"/>
      <c r="E259" s="21" t="s">
        <v>147</v>
      </c>
      <c r="F259" s="364" t="s">
        <v>458</v>
      </c>
      <c r="G259" s="148">
        <f t="shared" si="4"/>
        <v>55839.3333333334</v>
      </c>
      <c r="H259" s="367">
        <v>32846.6666666667</v>
      </c>
      <c r="I259" s="279"/>
      <c r="J259" s="279"/>
    </row>
    <row r="260" s="270" customFormat="1" spans="1:10">
      <c r="A260" s="288"/>
      <c r="B260" s="98" t="s">
        <v>519</v>
      </c>
      <c r="C260" s="98" t="s">
        <v>352</v>
      </c>
      <c r="D260" s="291"/>
      <c r="E260" s="21" t="s">
        <v>497</v>
      </c>
      <c r="F260" s="364" t="s">
        <v>458</v>
      </c>
      <c r="G260" s="148">
        <f t="shared" si="4"/>
        <v>38680.6666666666</v>
      </c>
      <c r="H260" s="367">
        <v>22753.3333333333</v>
      </c>
      <c r="I260" s="279"/>
      <c r="J260" s="279"/>
    </row>
    <row r="261" s="270" customFormat="1" spans="1:10">
      <c r="A261" s="288"/>
      <c r="B261" s="98" t="s">
        <v>520</v>
      </c>
      <c r="C261" s="98" t="s">
        <v>435</v>
      </c>
      <c r="D261" s="291"/>
      <c r="E261" s="21" t="s">
        <v>499</v>
      </c>
      <c r="F261" s="364" t="s">
        <v>458</v>
      </c>
      <c r="G261" s="148">
        <f t="shared" si="4"/>
        <v>28297.0666666666</v>
      </c>
      <c r="H261" s="367">
        <v>16645.3333333333</v>
      </c>
      <c r="I261" s="279"/>
      <c r="J261" s="279"/>
    </row>
    <row r="262" s="270" customFormat="1" spans="1:10">
      <c r="A262" s="288"/>
      <c r="B262" s="98" t="s">
        <v>521</v>
      </c>
      <c r="C262" s="98" t="s">
        <v>136</v>
      </c>
      <c r="D262" s="291"/>
      <c r="E262" s="308" t="s">
        <v>515</v>
      </c>
      <c r="F262" s="364" t="s">
        <v>458</v>
      </c>
      <c r="G262" s="148">
        <f t="shared" si="4"/>
        <v>19733.6</v>
      </c>
      <c r="H262" s="368">
        <v>11608</v>
      </c>
      <c r="I262" s="279"/>
      <c r="J262" s="279"/>
    </row>
    <row r="263" s="270" customFormat="1" spans="1:10">
      <c r="A263" s="288"/>
      <c r="B263" s="98" t="s">
        <v>522</v>
      </c>
      <c r="C263" s="98" t="s">
        <v>139</v>
      </c>
      <c r="D263" s="291"/>
      <c r="E263" s="308" t="s">
        <v>440</v>
      </c>
      <c r="F263" s="364" t="s">
        <v>458</v>
      </c>
      <c r="G263" s="148">
        <f t="shared" si="4"/>
        <v>6541.6</v>
      </c>
      <c r="H263" s="365">
        <v>3848</v>
      </c>
      <c r="I263" s="279"/>
      <c r="J263" s="279"/>
    </row>
    <row r="264" s="270" customFormat="1" spans="1:10">
      <c r="A264" s="288"/>
      <c r="B264" s="98" t="s">
        <v>523</v>
      </c>
      <c r="C264" s="98" t="s">
        <v>442</v>
      </c>
      <c r="D264" s="291"/>
      <c r="E264" s="21" t="s">
        <v>126</v>
      </c>
      <c r="F264" s="373" t="s">
        <v>429</v>
      </c>
      <c r="G264" s="148">
        <f t="shared" si="4"/>
        <v>53200.9333333334</v>
      </c>
      <c r="H264" s="367">
        <v>31294.6666666667</v>
      </c>
      <c r="I264" s="279"/>
      <c r="J264" s="279"/>
    </row>
    <row r="265" s="270" customFormat="1" spans="1:10">
      <c r="A265" s="288"/>
      <c r="B265" s="98" t="s">
        <v>524</v>
      </c>
      <c r="C265" s="98" t="s">
        <v>431</v>
      </c>
      <c r="D265" s="291"/>
      <c r="E265" s="21" t="s">
        <v>147</v>
      </c>
      <c r="F265" s="373" t="s">
        <v>429</v>
      </c>
      <c r="G265" s="148">
        <f t="shared" ref="G265:G287" si="5">H265*1.7</f>
        <v>58670.4</v>
      </c>
      <c r="H265" s="367">
        <v>34512</v>
      </c>
      <c r="I265" s="279"/>
      <c r="J265" s="279"/>
    </row>
    <row r="266" s="270" customFormat="1" spans="1:10">
      <c r="A266" s="288"/>
      <c r="B266" s="98" t="s">
        <v>525</v>
      </c>
      <c r="C266" s="98" t="s">
        <v>352</v>
      </c>
      <c r="D266" s="291"/>
      <c r="E266" s="21" t="s">
        <v>433</v>
      </c>
      <c r="F266" s="373" t="s">
        <v>429</v>
      </c>
      <c r="G266" s="148">
        <f t="shared" si="5"/>
        <v>41368.9333333334</v>
      </c>
      <c r="H266" s="367">
        <v>24334.6666666667</v>
      </c>
      <c r="I266" s="279"/>
      <c r="J266" s="279"/>
    </row>
    <row r="267" s="270" customFormat="1" spans="1:10">
      <c r="A267" s="288"/>
      <c r="B267" s="98" t="s">
        <v>526</v>
      </c>
      <c r="C267" s="98" t="s">
        <v>435</v>
      </c>
      <c r="D267" s="291"/>
      <c r="E267" s="21" t="s">
        <v>436</v>
      </c>
      <c r="F267" s="373" t="s">
        <v>429</v>
      </c>
      <c r="G267" s="148">
        <f t="shared" si="5"/>
        <v>31207.4666666666</v>
      </c>
      <c r="H267" s="367">
        <v>18357.3333333333</v>
      </c>
      <c r="I267" s="279"/>
      <c r="J267" s="279"/>
    </row>
    <row r="268" s="270" customFormat="1" spans="1:10">
      <c r="A268" s="288"/>
      <c r="B268" s="98" t="s">
        <v>527</v>
      </c>
      <c r="C268" s="98" t="s">
        <v>136</v>
      </c>
      <c r="D268" s="291"/>
      <c r="E268" s="308" t="s">
        <v>486</v>
      </c>
      <c r="F268" s="373" t="s">
        <v>429</v>
      </c>
      <c r="G268" s="148">
        <f t="shared" si="5"/>
        <v>22412.8</v>
      </c>
      <c r="H268" s="368">
        <v>13184</v>
      </c>
      <c r="I268" s="279"/>
      <c r="J268" s="279"/>
    </row>
    <row r="269" s="270" customFormat="1" spans="1:10">
      <c r="A269" s="288"/>
      <c r="B269" s="98" t="s">
        <v>528</v>
      </c>
      <c r="C269" s="98" t="s">
        <v>139</v>
      </c>
      <c r="D269" s="291"/>
      <c r="E269" s="308" t="s">
        <v>440</v>
      </c>
      <c r="F269" s="373" t="s">
        <v>429</v>
      </c>
      <c r="G269" s="148">
        <f t="shared" si="5"/>
        <v>4630.8</v>
      </c>
      <c r="H269" s="365">
        <v>2724</v>
      </c>
      <c r="I269" s="279"/>
      <c r="J269" s="279"/>
    </row>
    <row r="270" s="270" customFormat="1" spans="1:10">
      <c r="A270" s="288"/>
      <c r="B270" s="98" t="s">
        <v>529</v>
      </c>
      <c r="C270" s="98" t="s">
        <v>442</v>
      </c>
      <c r="D270" s="291"/>
      <c r="E270" s="21" t="s">
        <v>126</v>
      </c>
      <c r="F270" s="373" t="s">
        <v>530</v>
      </c>
      <c r="G270" s="148">
        <f t="shared" si="5"/>
        <v>54334.2666666666</v>
      </c>
      <c r="H270" s="367">
        <v>31961.3333333333</v>
      </c>
      <c r="I270" s="279"/>
      <c r="J270" s="279"/>
    </row>
    <row r="271" s="270" customFormat="1" spans="1:10">
      <c r="A271" s="288"/>
      <c r="B271" s="98" t="s">
        <v>531</v>
      </c>
      <c r="C271" s="98" t="s">
        <v>431</v>
      </c>
      <c r="D271" s="291"/>
      <c r="E271" s="21" t="s">
        <v>147</v>
      </c>
      <c r="F271" s="373" t="s">
        <v>530</v>
      </c>
      <c r="G271" s="148">
        <f t="shared" si="5"/>
        <v>59803.7333333334</v>
      </c>
      <c r="H271" s="367">
        <v>35178.6666666667</v>
      </c>
      <c r="I271" s="279"/>
      <c r="J271" s="279"/>
    </row>
    <row r="272" s="270" customFormat="1" spans="1:10">
      <c r="A272" s="288"/>
      <c r="B272" s="98" t="s">
        <v>532</v>
      </c>
      <c r="C272" s="98" t="s">
        <v>352</v>
      </c>
      <c r="D272" s="291"/>
      <c r="E272" s="21" t="s">
        <v>433</v>
      </c>
      <c r="F272" s="373" t="s">
        <v>530</v>
      </c>
      <c r="G272" s="148">
        <f t="shared" si="5"/>
        <v>42162.2666666666</v>
      </c>
      <c r="H272" s="367">
        <v>24801.3333333333</v>
      </c>
      <c r="I272" s="279"/>
      <c r="J272" s="279"/>
    </row>
    <row r="273" s="270" customFormat="1" spans="1:10">
      <c r="A273" s="288"/>
      <c r="B273" s="98" t="s">
        <v>533</v>
      </c>
      <c r="C273" s="98" t="s">
        <v>435</v>
      </c>
      <c r="D273" s="291"/>
      <c r="E273" s="21" t="s">
        <v>436</v>
      </c>
      <c r="F273" s="373" t="s">
        <v>530</v>
      </c>
      <c r="G273" s="148">
        <f t="shared" si="5"/>
        <v>31774.1333333334</v>
      </c>
      <c r="H273" s="367">
        <v>18690.6666666667</v>
      </c>
      <c r="I273" s="279"/>
      <c r="J273" s="279"/>
    </row>
    <row r="274" s="270" customFormat="1" spans="1:10">
      <c r="A274" s="288"/>
      <c r="B274" s="98" t="s">
        <v>534</v>
      </c>
      <c r="C274" s="98" t="s">
        <v>136</v>
      </c>
      <c r="D274" s="291"/>
      <c r="E274" s="308" t="s">
        <v>486</v>
      </c>
      <c r="F274" s="373" t="s">
        <v>530</v>
      </c>
      <c r="G274" s="148">
        <f t="shared" si="5"/>
        <v>22752.8</v>
      </c>
      <c r="H274" s="368">
        <v>13384</v>
      </c>
      <c r="I274" s="279"/>
      <c r="J274" s="279"/>
    </row>
    <row r="275" s="270" customFormat="1" spans="1:10">
      <c r="A275" s="288"/>
      <c r="B275" s="98" t="s">
        <v>535</v>
      </c>
      <c r="C275" s="98" t="s">
        <v>139</v>
      </c>
      <c r="D275" s="291"/>
      <c r="E275" s="308" t="s">
        <v>440</v>
      </c>
      <c r="F275" s="373" t="s">
        <v>530</v>
      </c>
      <c r="G275" s="148">
        <f t="shared" si="5"/>
        <v>4744.13333333334</v>
      </c>
      <c r="H275" s="365">
        <v>2790.66666666667</v>
      </c>
      <c r="I275" s="279"/>
      <c r="J275" s="279"/>
    </row>
    <row r="276" s="270" customFormat="1" spans="1:10">
      <c r="A276" s="288"/>
      <c r="B276" s="98" t="s">
        <v>536</v>
      </c>
      <c r="C276" s="98" t="s">
        <v>442</v>
      </c>
      <c r="D276" s="291"/>
      <c r="E276" s="21" t="s">
        <v>126</v>
      </c>
      <c r="F276" s="373" t="s">
        <v>429</v>
      </c>
      <c r="G276" s="148">
        <f t="shared" si="5"/>
        <v>44957.0666666666</v>
      </c>
      <c r="H276" s="367">
        <v>26445.3333333333</v>
      </c>
      <c r="I276" s="279"/>
      <c r="J276" s="279"/>
    </row>
    <row r="277" s="270" customFormat="1" spans="1:10">
      <c r="A277" s="288"/>
      <c r="B277" s="98" t="s">
        <v>537</v>
      </c>
      <c r="C277" s="98" t="s">
        <v>431</v>
      </c>
      <c r="D277" s="291"/>
      <c r="E277" s="21" t="s">
        <v>147</v>
      </c>
      <c r="F277" s="373" t="s">
        <v>429</v>
      </c>
      <c r="G277" s="148">
        <f t="shared" si="5"/>
        <v>50995.4666666666</v>
      </c>
      <c r="H277" s="367">
        <v>29997.3333333333</v>
      </c>
      <c r="I277" s="279"/>
      <c r="J277" s="279"/>
    </row>
    <row r="278" s="270" customFormat="1" spans="1:10">
      <c r="A278" s="288"/>
      <c r="B278" s="98" t="s">
        <v>538</v>
      </c>
      <c r="C278" s="98" t="s">
        <v>352</v>
      </c>
      <c r="D278" s="291"/>
      <c r="E278" s="21" t="s">
        <v>433</v>
      </c>
      <c r="F278" s="373" t="s">
        <v>429</v>
      </c>
      <c r="G278" s="148">
        <f t="shared" si="5"/>
        <v>41990</v>
      </c>
      <c r="H278" s="367">
        <v>24700</v>
      </c>
      <c r="I278" s="279"/>
      <c r="J278" s="279"/>
    </row>
    <row r="279" s="270" customFormat="1" spans="1:10">
      <c r="A279" s="288"/>
      <c r="B279" s="98" t="s">
        <v>539</v>
      </c>
      <c r="C279" s="98" t="s">
        <v>435</v>
      </c>
      <c r="D279" s="291"/>
      <c r="E279" s="21" t="s">
        <v>436</v>
      </c>
      <c r="F279" s="373" t="s">
        <v>429</v>
      </c>
      <c r="G279" s="148">
        <f t="shared" si="5"/>
        <v>31207.4666666666</v>
      </c>
      <c r="H279" s="367">
        <v>18357.3333333333</v>
      </c>
      <c r="I279" s="279"/>
      <c r="J279" s="279"/>
    </row>
    <row r="280" s="270" customFormat="1" spans="1:10">
      <c r="A280" s="288"/>
      <c r="B280" s="98" t="s">
        <v>540</v>
      </c>
      <c r="C280" s="98" t="s">
        <v>136</v>
      </c>
      <c r="D280" s="291"/>
      <c r="E280" s="308" t="s">
        <v>541</v>
      </c>
      <c r="F280" s="373" t="s">
        <v>429</v>
      </c>
      <c r="G280" s="148">
        <f t="shared" si="5"/>
        <v>22492.1333333334</v>
      </c>
      <c r="H280" s="368">
        <v>13230.6666666667</v>
      </c>
      <c r="I280" s="279"/>
      <c r="J280" s="279"/>
    </row>
    <row r="281" s="270" customFormat="1" spans="1:10">
      <c r="A281" s="288"/>
      <c r="B281" s="98" t="s">
        <v>542</v>
      </c>
      <c r="C281" s="98" t="s">
        <v>139</v>
      </c>
      <c r="D281" s="291"/>
      <c r="E281" s="308" t="s">
        <v>440</v>
      </c>
      <c r="F281" s="373" t="s">
        <v>429</v>
      </c>
      <c r="G281" s="148">
        <f t="shared" si="5"/>
        <v>5623.6</v>
      </c>
      <c r="H281" s="365">
        <v>3308</v>
      </c>
      <c r="I281" s="279"/>
      <c r="J281" s="279"/>
    </row>
    <row r="282" s="270" customFormat="1" spans="1:10">
      <c r="A282" s="288"/>
      <c r="B282" s="98" t="s">
        <v>543</v>
      </c>
      <c r="C282" s="98" t="s">
        <v>442</v>
      </c>
      <c r="D282" s="291"/>
      <c r="E282" s="21" t="s">
        <v>126</v>
      </c>
      <c r="F282" s="373" t="s">
        <v>530</v>
      </c>
      <c r="G282" s="148">
        <f t="shared" si="5"/>
        <v>46090.4</v>
      </c>
      <c r="H282" s="367">
        <v>27112</v>
      </c>
      <c r="I282" s="279"/>
      <c r="J282" s="279"/>
    </row>
    <row r="283" s="270" customFormat="1" spans="1:10">
      <c r="A283" s="288"/>
      <c r="B283" s="98" t="s">
        <v>544</v>
      </c>
      <c r="C283" s="98" t="s">
        <v>431</v>
      </c>
      <c r="D283" s="291"/>
      <c r="E283" s="21" t="s">
        <v>147</v>
      </c>
      <c r="F283" s="373" t="s">
        <v>530</v>
      </c>
      <c r="G283" s="148">
        <f t="shared" si="5"/>
        <v>52128.8</v>
      </c>
      <c r="H283" s="367">
        <v>30664</v>
      </c>
      <c r="I283" s="279"/>
      <c r="J283" s="279"/>
    </row>
    <row r="284" s="270" customFormat="1" spans="1:10">
      <c r="A284" s="288"/>
      <c r="B284" s="98" t="s">
        <v>545</v>
      </c>
      <c r="C284" s="98" t="s">
        <v>352</v>
      </c>
      <c r="D284" s="291"/>
      <c r="E284" s="21" t="s">
        <v>433</v>
      </c>
      <c r="F284" s="373" t="s">
        <v>530</v>
      </c>
      <c r="G284" s="148">
        <f t="shared" si="5"/>
        <v>42783.3333333334</v>
      </c>
      <c r="H284" s="367">
        <v>25166.6666666667</v>
      </c>
      <c r="I284" s="279"/>
      <c r="J284" s="279"/>
    </row>
    <row r="285" s="270" customFormat="1" spans="1:10">
      <c r="A285" s="288"/>
      <c r="B285" s="98" t="s">
        <v>546</v>
      </c>
      <c r="C285" s="98" t="s">
        <v>435</v>
      </c>
      <c r="D285" s="291"/>
      <c r="E285" s="21" t="s">
        <v>436</v>
      </c>
      <c r="F285" s="373" t="s">
        <v>530</v>
      </c>
      <c r="G285" s="148">
        <f t="shared" si="5"/>
        <v>31774.1333333334</v>
      </c>
      <c r="H285" s="367">
        <v>18690.6666666667</v>
      </c>
      <c r="I285" s="279"/>
      <c r="J285" s="279"/>
    </row>
    <row r="286" s="270" customFormat="1" spans="1:10">
      <c r="A286" s="288"/>
      <c r="B286" s="98" t="s">
        <v>547</v>
      </c>
      <c r="C286" s="98" t="s">
        <v>136</v>
      </c>
      <c r="D286" s="291"/>
      <c r="E286" s="308" t="s">
        <v>541</v>
      </c>
      <c r="F286" s="373" t="s">
        <v>530</v>
      </c>
      <c r="G286" s="148">
        <f t="shared" si="5"/>
        <v>22832.1333333334</v>
      </c>
      <c r="H286" s="368">
        <v>13430.6666666667</v>
      </c>
      <c r="I286" s="279"/>
      <c r="J286" s="279"/>
    </row>
    <row r="287" s="270" customFormat="1" spans="1:10">
      <c r="A287" s="288"/>
      <c r="B287" s="98" t="s">
        <v>548</v>
      </c>
      <c r="C287" s="98" t="s">
        <v>139</v>
      </c>
      <c r="D287" s="291"/>
      <c r="E287" s="308" t="s">
        <v>440</v>
      </c>
      <c r="F287" s="373" t="s">
        <v>530</v>
      </c>
      <c r="G287" s="148">
        <f t="shared" si="5"/>
        <v>5736.93333333334</v>
      </c>
      <c r="H287" s="365">
        <v>3374.66666666667</v>
      </c>
      <c r="I287" s="279"/>
      <c r="J287" s="279"/>
    </row>
    <row r="288" s="270" customFormat="1" spans="1:10">
      <c r="A288" s="288"/>
      <c r="B288" s="374"/>
      <c r="C288" s="274"/>
      <c r="D288" s="98"/>
      <c r="E288" s="375"/>
      <c r="F288" s="298"/>
      <c r="G288" s="266"/>
      <c r="H288" s="266"/>
      <c r="I288" s="279"/>
      <c r="J288" s="279"/>
    </row>
    <row r="289" s="270" customFormat="1" spans="1:10">
      <c r="A289" s="288"/>
      <c r="B289" s="376"/>
      <c r="C289" s="376"/>
      <c r="D289" s="377"/>
      <c r="E289" s="378"/>
      <c r="F289" s="298"/>
      <c r="G289" s="295"/>
      <c r="H289" s="295"/>
      <c r="I289" s="279"/>
      <c r="J289" s="279"/>
    </row>
    <row r="290" s="270" customFormat="1" spans="1:10">
      <c r="A290" s="288"/>
      <c r="B290" s="376"/>
      <c r="C290" s="376"/>
      <c r="D290" s="377"/>
      <c r="E290" s="379"/>
      <c r="F290" s="235"/>
      <c r="G290" s="148"/>
      <c r="H290" s="148"/>
      <c r="I290" s="279"/>
      <c r="J290" s="279"/>
    </row>
    <row r="291" s="270" customFormat="1" spans="1:10">
      <c r="A291" s="288"/>
      <c r="B291" s="376"/>
      <c r="C291" s="376"/>
      <c r="D291" s="377"/>
      <c r="E291" s="379"/>
      <c r="F291" s="235"/>
      <c r="G291" s="148"/>
      <c r="H291" s="148"/>
      <c r="I291" s="279"/>
      <c r="J291" s="279"/>
    </row>
    <row r="292" s="270" customFormat="1" spans="1:10">
      <c r="A292" s="288"/>
      <c r="B292" s="376"/>
      <c r="C292" s="376"/>
      <c r="D292" s="377"/>
      <c r="E292" s="379"/>
      <c r="F292" s="235"/>
      <c r="G292" s="148"/>
      <c r="H292" s="148"/>
      <c r="I292" s="279"/>
      <c r="J292" s="279"/>
    </row>
    <row r="293" s="270" customFormat="1" spans="1:10">
      <c r="A293" s="288"/>
      <c r="B293" s="119"/>
      <c r="C293" s="204"/>
      <c r="D293" s="377"/>
      <c r="E293" s="379"/>
      <c r="F293" s="235"/>
      <c r="G293" s="254"/>
      <c r="H293" s="254"/>
      <c r="I293" s="279"/>
      <c r="J293" s="279"/>
    </row>
    <row r="294" s="270" customFormat="1" spans="1:10">
      <c r="A294" s="288"/>
      <c r="B294" s="119"/>
      <c r="C294" s="204"/>
      <c r="D294" s="377"/>
      <c r="E294" s="29"/>
      <c r="F294" s="235"/>
      <c r="G294" s="254"/>
      <c r="H294" s="254"/>
      <c r="I294" s="279"/>
      <c r="J294" s="279"/>
    </row>
    <row r="295" s="270" customFormat="1" spans="1:10">
      <c r="A295" s="288"/>
      <c r="B295" s="119"/>
      <c r="C295" s="380"/>
      <c r="D295" s="377"/>
      <c r="E295" s="379"/>
      <c r="F295" s="235"/>
      <c r="G295" s="254"/>
      <c r="H295" s="254"/>
      <c r="I295" s="279"/>
      <c r="J295" s="279"/>
    </row>
    <row r="296" s="270" customFormat="1" spans="1:10">
      <c r="A296" s="288"/>
      <c r="B296" s="119"/>
      <c r="C296" s="204"/>
      <c r="D296" s="377"/>
      <c r="E296" s="379"/>
      <c r="F296" s="235"/>
      <c r="G296" s="148"/>
      <c r="H296" s="148"/>
      <c r="I296" s="279"/>
      <c r="J296" s="279"/>
    </row>
    <row r="297" s="270" customFormat="1" spans="1:10">
      <c r="A297" s="288"/>
      <c r="B297" s="119"/>
      <c r="C297" s="204"/>
      <c r="D297" s="377"/>
      <c r="E297" s="379"/>
      <c r="F297" s="235"/>
      <c r="G297" s="254"/>
      <c r="H297" s="254"/>
      <c r="I297" s="279"/>
      <c r="J297" s="279"/>
    </row>
    <row r="298" s="270" customFormat="1" spans="1:10">
      <c r="A298" s="288"/>
      <c r="B298" s="119"/>
      <c r="C298" s="204"/>
      <c r="D298" s="377"/>
      <c r="E298" s="379"/>
      <c r="F298" s="235"/>
      <c r="G298" s="148"/>
      <c r="H298" s="148"/>
      <c r="I298" s="279"/>
      <c r="J298" s="279"/>
    </row>
    <row r="299" s="270" customFormat="1" spans="1:10">
      <c r="A299" s="288"/>
      <c r="B299" s="119"/>
      <c r="C299" s="204"/>
      <c r="D299" s="377"/>
      <c r="E299" s="379"/>
      <c r="F299" s="235"/>
      <c r="G299" s="148"/>
      <c r="H299" s="148"/>
      <c r="I299" s="279"/>
      <c r="J299" s="279"/>
    </row>
    <row r="300" s="270" customFormat="1" spans="1:10">
      <c r="A300" s="288"/>
      <c r="B300" s="119"/>
      <c r="C300" s="204"/>
      <c r="D300" s="377"/>
      <c r="E300" s="379"/>
      <c r="F300" s="235"/>
      <c r="G300" s="148"/>
      <c r="H300" s="148"/>
      <c r="I300" s="279"/>
      <c r="J300" s="279"/>
    </row>
    <row r="301" s="270" customFormat="1" spans="1:10">
      <c r="A301" s="288"/>
      <c r="B301" s="119"/>
      <c r="C301" s="204"/>
      <c r="D301" s="377"/>
      <c r="E301" s="29"/>
      <c r="F301" s="235"/>
      <c r="G301" s="148"/>
      <c r="H301" s="148"/>
      <c r="I301" s="279"/>
      <c r="J301" s="279"/>
    </row>
    <row r="302" s="270" customFormat="1" spans="1:10">
      <c r="A302" s="288"/>
      <c r="B302" s="381"/>
      <c r="C302" s="382"/>
      <c r="D302" s="377"/>
      <c r="E302" s="383"/>
      <c r="F302" s="235"/>
      <c r="G302" s="148"/>
      <c r="H302" s="148"/>
      <c r="I302" s="279"/>
      <c r="J302" s="279"/>
    </row>
    <row r="303" s="270" customFormat="1" spans="1:10">
      <c r="A303" s="288"/>
      <c r="B303" s="381"/>
      <c r="C303" s="382"/>
      <c r="D303" s="377"/>
      <c r="E303" s="383"/>
      <c r="F303" s="235"/>
      <c r="G303" s="384"/>
      <c r="H303" s="384"/>
      <c r="I303" s="279"/>
      <c r="J303" s="279"/>
    </row>
    <row r="304" s="270" customFormat="1" spans="1:10">
      <c r="A304" s="288"/>
      <c r="B304" s="381"/>
      <c r="C304" s="382"/>
      <c r="D304" s="377"/>
      <c r="E304" s="383"/>
      <c r="F304" s="235"/>
      <c r="G304" s="384"/>
      <c r="H304" s="384"/>
      <c r="I304" s="279"/>
      <c r="J304" s="279"/>
    </row>
    <row r="305" s="270" customFormat="1" spans="1:10">
      <c r="A305" s="288"/>
      <c r="B305" s="381"/>
      <c r="C305" s="382"/>
      <c r="D305" s="377"/>
      <c r="E305" s="383"/>
      <c r="F305" s="235"/>
      <c r="G305" s="385"/>
      <c r="H305" s="385"/>
      <c r="I305" s="279"/>
      <c r="J305" s="279"/>
    </row>
    <row r="306" s="270" customFormat="1" spans="1:10">
      <c r="A306" s="288"/>
      <c r="B306" s="98"/>
      <c r="C306" s="204"/>
      <c r="D306" s="377"/>
      <c r="E306" s="29"/>
      <c r="F306" s="235"/>
      <c r="G306" s="148"/>
      <c r="H306" s="148"/>
      <c r="I306" s="279"/>
      <c r="J306" s="279"/>
    </row>
    <row r="307" s="270" customFormat="1" spans="1:10">
      <c r="A307" s="288"/>
      <c r="B307" s="98"/>
      <c r="C307" s="204"/>
      <c r="D307" s="377"/>
      <c r="E307" s="29"/>
      <c r="F307" s="235"/>
      <c r="G307" s="148"/>
      <c r="H307" s="148"/>
      <c r="I307" s="279"/>
      <c r="J307" s="279"/>
    </row>
    <row r="308" s="270" customFormat="1" spans="1:10">
      <c r="A308" s="288"/>
      <c r="B308" s="98"/>
      <c r="C308" s="67"/>
      <c r="D308" s="377"/>
      <c r="E308" s="29"/>
      <c r="F308" s="235"/>
      <c r="G308" s="148"/>
      <c r="H308" s="148"/>
      <c r="I308" s="279"/>
      <c r="J308" s="279"/>
    </row>
    <row r="309" s="270" customFormat="1" spans="1:10">
      <c r="A309" s="288"/>
      <c r="B309" s="98"/>
      <c r="C309" s="67"/>
      <c r="D309" s="377"/>
      <c r="E309" s="29"/>
      <c r="F309" s="235"/>
      <c r="G309" s="148"/>
      <c r="H309" s="148"/>
      <c r="I309" s="279"/>
      <c r="J309" s="279"/>
    </row>
    <row r="310" s="270" customFormat="1" spans="1:10">
      <c r="A310" s="288"/>
      <c r="B310" s="98"/>
      <c r="C310" s="67"/>
      <c r="D310" s="377"/>
      <c r="E310" s="29"/>
      <c r="F310" s="235"/>
      <c r="G310" s="148"/>
      <c r="H310" s="148"/>
      <c r="I310" s="279"/>
      <c r="J310" s="279"/>
    </row>
    <row r="311" s="270" customFormat="1" spans="1:10">
      <c r="A311" s="288"/>
      <c r="B311" s="98"/>
      <c r="C311" s="204"/>
      <c r="D311" s="377"/>
      <c r="E311" s="379"/>
      <c r="F311" s="235"/>
      <c r="G311" s="148"/>
      <c r="H311" s="148"/>
      <c r="I311" s="279"/>
      <c r="J311" s="279"/>
    </row>
    <row r="312" s="270" customFormat="1" spans="1:10">
      <c r="A312" s="288"/>
      <c r="B312" s="98"/>
      <c r="C312" s="204"/>
      <c r="D312" s="377"/>
      <c r="E312" s="379"/>
      <c r="F312" s="235"/>
      <c r="G312" s="148"/>
      <c r="H312" s="148"/>
      <c r="I312" s="279"/>
      <c r="J312" s="279"/>
    </row>
    <row r="313" s="270" customFormat="1" spans="1:10">
      <c r="A313" s="288"/>
      <c r="B313" s="98"/>
      <c r="C313" s="204"/>
      <c r="D313" s="377"/>
      <c r="E313" s="379"/>
      <c r="F313" s="235"/>
      <c r="G313" s="148"/>
      <c r="H313" s="148"/>
      <c r="I313" s="279"/>
      <c r="J313" s="279"/>
    </row>
    <row r="314" s="270" customFormat="1" spans="1:10">
      <c r="A314" s="288"/>
      <c r="B314" s="98"/>
      <c r="C314" s="204"/>
      <c r="D314" s="377"/>
      <c r="E314" s="379"/>
      <c r="F314" s="235"/>
      <c r="G314" s="148"/>
      <c r="H314" s="148"/>
      <c r="I314" s="279"/>
      <c r="J314" s="279"/>
    </row>
    <row r="315" s="270" customFormat="1" spans="1:10">
      <c r="A315" s="288"/>
      <c r="B315" s="98"/>
      <c r="C315" s="204"/>
      <c r="D315" s="377"/>
      <c r="E315" s="379"/>
      <c r="F315" s="235"/>
      <c r="G315" s="258"/>
      <c r="H315" s="258"/>
      <c r="I315" s="279"/>
      <c r="J315" s="279"/>
    </row>
    <row r="316" s="270" customFormat="1" spans="1:10">
      <c r="A316" s="288"/>
      <c r="B316" s="98"/>
      <c r="C316" s="204"/>
      <c r="D316" s="377"/>
      <c r="E316" s="379"/>
      <c r="F316" s="235"/>
      <c r="G316" s="258"/>
      <c r="H316" s="258"/>
      <c r="I316" s="279"/>
      <c r="J316" s="279"/>
    </row>
    <row r="317" s="270" customFormat="1" spans="1:10">
      <c r="A317" s="288"/>
      <c r="B317" s="98"/>
      <c r="C317" s="204"/>
      <c r="D317" s="377"/>
      <c r="E317" s="379"/>
      <c r="F317" s="235"/>
      <c r="G317" s="258"/>
      <c r="H317" s="258"/>
      <c r="I317" s="279"/>
      <c r="J317" s="279"/>
    </row>
    <row r="318" s="270" customFormat="1" spans="1:10">
      <c r="A318" s="288"/>
      <c r="B318" s="98"/>
      <c r="C318" s="204"/>
      <c r="D318" s="377"/>
      <c r="E318" s="379"/>
      <c r="F318" s="235"/>
      <c r="G318" s="258"/>
      <c r="H318" s="258"/>
      <c r="I318" s="279"/>
      <c r="J318" s="279"/>
    </row>
    <row r="319" s="270" customFormat="1" spans="1:10">
      <c r="A319" s="288"/>
      <c r="B319" s="98"/>
      <c r="C319" s="204"/>
      <c r="D319" s="377"/>
      <c r="E319" s="379"/>
      <c r="F319" s="235"/>
      <c r="G319" s="258"/>
      <c r="H319" s="258"/>
      <c r="I319" s="279"/>
      <c r="J319" s="279"/>
    </row>
    <row r="320" s="270" customFormat="1" spans="1:10">
      <c r="A320" s="288"/>
      <c r="B320" s="98"/>
      <c r="C320" s="204"/>
      <c r="D320" s="377"/>
      <c r="E320" s="29"/>
      <c r="F320" s="235"/>
      <c r="G320" s="148"/>
      <c r="H320" s="148"/>
      <c r="I320" s="279"/>
      <c r="J320" s="279"/>
    </row>
    <row r="321" s="270" customFormat="1" spans="1:10">
      <c r="A321" s="288"/>
      <c r="B321" s="98"/>
      <c r="C321" s="204"/>
      <c r="D321" s="377"/>
      <c r="E321" s="29"/>
      <c r="F321" s="235"/>
      <c r="G321" s="148"/>
      <c r="H321" s="148"/>
      <c r="I321" s="279"/>
      <c r="J321" s="279"/>
    </row>
    <row r="322" s="270" customFormat="1" spans="1:10">
      <c r="A322" s="288"/>
      <c r="B322" s="98"/>
      <c r="C322" s="204"/>
      <c r="D322" s="377"/>
      <c r="E322" s="29"/>
      <c r="F322" s="235"/>
      <c r="G322" s="148"/>
      <c r="H322" s="148"/>
      <c r="I322" s="279"/>
      <c r="J322" s="279"/>
    </row>
    <row r="323" s="270" customFormat="1" spans="1:10">
      <c r="A323" s="288"/>
      <c r="B323" s="98"/>
      <c r="C323" s="67"/>
      <c r="D323" s="377"/>
      <c r="E323" s="29"/>
      <c r="F323" s="235"/>
      <c r="G323" s="148"/>
      <c r="H323" s="148"/>
      <c r="I323" s="279"/>
      <c r="J323" s="279"/>
    </row>
    <row r="324" s="270" customFormat="1" spans="1:10">
      <c r="A324" s="288"/>
      <c r="B324" s="98"/>
      <c r="C324" s="67"/>
      <c r="D324" s="377"/>
      <c r="E324" s="29"/>
      <c r="F324" s="235"/>
      <c r="G324" s="148"/>
      <c r="H324" s="148"/>
      <c r="I324" s="279"/>
      <c r="J324" s="279"/>
    </row>
    <row r="325" s="270" customFormat="1" spans="1:10">
      <c r="A325" s="288"/>
      <c r="B325" s="98"/>
      <c r="C325" s="67"/>
      <c r="D325" s="377"/>
      <c r="E325" s="29"/>
      <c r="F325" s="235"/>
      <c r="G325" s="148"/>
      <c r="H325" s="148"/>
      <c r="I325" s="279"/>
      <c r="J325" s="279"/>
    </row>
    <row r="326" s="270" customFormat="1" spans="1:10">
      <c r="A326" s="288"/>
      <c r="B326" s="98"/>
      <c r="C326" s="67"/>
      <c r="D326" s="377"/>
      <c r="E326" s="29"/>
      <c r="F326" s="235"/>
      <c r="G326" s="148"/>
      <c r="H326" s="148"/>
      <c r="I326" s="279"/>
      <c r="J326" s="279"/>
    </row>
    <row r="327" s="270" customFormat="1" spans="1:10">
      <c r="A327" s="288"/>
      <c r="B327" s="98"/>
      <c r="C327" s="204"/>
      <c r="D327" s="377"/>
      <c r="E327" s="29"/>
      <c r="F327" s="235"/>
      <c r="G327" s="148"/>
      <c r="H327" s="148"/>
      <c r="I327" s="279"/>
      <c r="J327" s="279"/>
    </row>
    <row r="328" s="270" customFormat="1" spans="1:10">
      <c r="A328" s="288"/>
      <c r="B328" s="98"/>
      <c r="C328" s="204"/>
      <c r="D328" s="377"/>
      <c r="E328" s="29"/>
      <c r="F328" s="235"/>
      <c r="G328" s="148"/>
      <c r="H328" s="148"/>
      <c r="I328" s="279"/>
      <c r="J328" s="279"/>
    </row>
    <row r="329" s="270" customFormat="1" spans="1:10">
      <c r="A329" s="288"/>
      <c r="B329" s="98"/>
      <c r="C329" s="67"/>
      <c r="D329" s="377"/>
      <c r="E329" s="29"/>
      <c r="F329" s="235"/>
      <c r="G329" s="148"/>
      <c r="H329" s="148"/>
      <c r="I329" s="279"/>
      <c r="J329" s="279"/>
    </row>
    <row r="330" s="270" customFormat="1" spans="1:10">
      <c r="A330" s="288"/>
      <c r="B330" s="98"/>
      <c r="C330" s="67"/>
      <c r="D330" s="377"/>
      <c r="E330" s="29"/>
      <c r="F330" s="235"/>
      <c r="G330" s="148"/>
      <c r="H330" s="148"/>
      <c r="I330" s="279"/>
      <c r="J330" s="279"/>
    </row>
    <row r="331" s="270" customFormat="1" spans="1:10">
      <c r="A331" s="288"/>
      <c r="B331" s="98"/>
      <c r="C331" s="67"/>
      <c r="D331" s="377"/>
      <c r="E331" s="29"/>
      <c r="F331" s="235"/>
      <c r="G331" s="148"/>
      <c r="H331" s="148"/>
      <c r="I331" s="279"/>
      <c r="J331" s="279"/>
    </row>
    <row r="332" s="270" customFormat="1" spans="1:10">
      <c r="A332" s="288"/>
      <c r="B332" s="98"/>
      <c r="C332" s="67"/>
      <c r="D332" s="377"/>
      <c r="E332" s="379"/>
      <c r="F332" s="235"/>
      <c r="G332" s="258"/>
      <c r="H332" s="258"/>
      <c r="I332" s="279"/>
      <c r="J332" s="279"/>
    </row>
    <row r="333" s="270" customFormat="1" spans="1:10">
      <c r="A333" s="288"/>
      <c r="B333" s="98"/>
      <c r="C333" s="67"/>
      <c r="D333" s="377"/>
      <c r="E333" s="379"/>
      <c r="F333" s="235"/>
      <c r="G333" s="258"/>
      <c r="H333" s="258"/>
      <c r="I333" s="279"/>
      <c r="J333" s="279"/>
    </row>
    <row r="334" s="270" customFormat="1" spans="1:10">
      <c r="A334" s="288"/>
      <c r="B334" s="98"/>
      <c r="C334" s="67"/>
      <c r="D334" s="377"/>
      <c r="E334" s="379"/>
      <c r="F334" s="235"/>
      <c r="G334" s="258"/>
      <c r="H334" s="258"/>
      <c r="I334" s="279"/>
      <c r="J334" s="279"/>
    </row>
    <row r="335" s="270" customFormat="1" spans="1:10">
      <c r="A335" s="288"/>
      <c r="B335" s="98"/>
      <c r="C335" s="67"/>
      <c r="D335" s="377"/>
      <c r="E335" s="379"/>
      <c r="F335" s="235"/>
      <c r="G335" s="258"/>
      <c r="H335" s="258"/>
      <c r="I335" s="279"/>
      <c r="J335" s="279"/>
    </row>
    <row r="336" s="270" customFormat="1" spans="1:10">
      <c r="A336" s="288"/>
      <c r="B336" s="98"/>
      <c r="C336" s="67"/>
      <c r="D336" s="377"/>
      <c r="E336" s="379"/>
      <c r="F336" s="235"/>
      <c r="G336" s="258"/>
      <c r="H336" s="258"/>
      <c r="I336" s="279"/>
      <c r="J336" s="279"/>
    </row>
    <row r="337" s="270" customFormat="1" spans="1:10">
      <c r="A337" s="288"/>
      <c r="B337" s="98"/>
      <c r="C337" s="67"/>
      <c r="D337" s="377"/>
      <c r="E337" s="379"/>
      <c r="F337" s="235"/>
      <c r="G337" s="258"/>
      <c r="H337" s="258"/>
      <c r="I337" s="279"/>
      <c r="J337" s="279"/>
    </row>
    <row r="338" s="270" customFormat="1" spans="1:10">
      <c r="A338" s="288"/>
      <c r="B338" s="98"/>
      <c r="C338" s="67"/>
      <c r="D338" s="377"/>
      <c r="E338" s="379"/>
      <c r="F338" s="235"/>
      <c r="G338" s="148"/>
      <c r="H338" s="148"/>
      <c r="I338" s="279"/>
      <c r="J338" s="279"/>
    </row>
    <row r="339" s="270" customFormat="1" spans="1:10">
      <c r="A339" s="288"/>
      <c r="B339" s="98"/>
      <c r="C339" s="67"/>
      <c r="D339" s="377"/>
      <c r="E339" s="379"/>
      <c r="F339" s="235"/>
      <c r="G339" s="254"/>
      <c r="H339" s="254"/>
      <c r="I339" s="279"/>
      <c r="J339" s="279"/>
    </row>
    <row r="340" s="270" customFormat="1" spans="1:10">
      <c r="A340" s="288"/>
      <c r="B340" s="98"/>
      <c r="C340" s="67"/>
      <c r="D340" s="377"/>
      <c r="E340" s="379"/>
      <c r="F340" s="235"/>
      <c r="G340" s="254"/>
      <c r="H340" s="254"/>
      <c r="I340" s="279"/>
      <c r="J340" s="279"/>
    </row>
    <row r="341" s="270" customFormat="1" spans="1:10">
      <c r="A341" s="288"/>
      <c r="B341" s="98"/>
      <c r="C341" s="67"/>
      <c r="D341" s="377"/>
      <c r="E341" s="379"/>
      <c r="F341" s="235"/>
      <c r="G341" s="254"/>
      <c r="H341" s="254"/>
      <c r="I341" s="279"/>
      <c r="J341" s="279"/>
    </row>
    <row r="342" s="270" customFormat="1" spans="1:10">
      <c r="A342" s="288"/>
      <c r="B342" s="119"/>
      <c r="C342" s="204"/>
      <c r="D342" s="377"/>
      <c r="E342" s="379"/>
      <c r="F342" s="235"/>
      <c r="G342" s="254"/>
      <c r="H342" s="254"/>
      <c r="I342" s="279"/>
      <c r="J342" s="279"/>
    </row>
    <row r="343" s="270" customFormat="1" spans="1:10">
      <c r="A343" s="288"/>
      <c r="B343" s="98"/>
      <c r="C343" s="204"/>
      <c r="D343" s="377"/>
      <c r="E343" s="379"/>
      <c r="F343" s="235"/>
      <c r="G343" s="258"/>
      <c r="H343" s="258"/>
      <c r="I343" s="279"/>
      <c r="J343" s="279"/>
    </row>
    <row r="344" s="270" customFormat="1" spans="1:10">
      <c r="A344" s="288"/>
      <c r="B344" s="98"/>
      <c r="C344" s="204"/>
      <c r="D344" s="377"/>
      <c r="E344" s="379"/>
      <c r="F344" s="235"/>
      <c r="G344" s="258"/>
      <c r="H344" s="258"/>
      <c r="I344" s="279"/>
      <c r="J344" s="279"/>
    </row>
    <row r="345" s="270" customFormat="1" spans="1:10">
      <c r="A345" s="288"/>
      <c r="B345" s="98"/>
      <c r="C345" s="67"/>
      <c r="D345" s="377"/>
      <c r="E345" s="379"/>
      <c r="F345" s="235"/>
      <c r="G345" s="258"/>
      <c r="H345" s="258"/>
      <c r="I345" s="279"/>
      <c r="J345" s="279"/>
    </row>
    <row r="346" s="270" customFormat="1" spans="1:10">
      <c r="A346" s="288"/>
      <c r="B346" s="98"/>
      <c r="C346" s="67"/>
      <c r="D346" s="377"/>
      <c r="E346" s="379"/>
      <c r="F346" s="235"/>
      <c r="G346" s="258"/>
      <c r="H346" s="258"/>
      <c r="I346" s="279"/>
      <c r="J346" s="279"/>
    </row>
    <row r="347" s="270" customFormat="1" spans="1:10">
      <c r="A347" s="288"/>
      <c r="B347" s="98"/>
      <c r="C347" s="67"/>
      <c r="D347" s="377"/>
      <c r="E347" s="379"/>
      <c r="F347" s="235"/>
      <c r="G347" s="258"/>
      <c r="H347" s="258"/>
      <c r="I347" s="279"/>
      <c r="J347" s="279"/>
    </row>
    <row r="348" s="270" customFormat="1" spans="1:10">
      <c r="A348" s="288"/>
      <c r="B348" s="98"/>
      <c r="C348" s="67"/>
      <c r="D348" s="377"/>
      <c r="E348" s="379"/>
      <c r="F348" s="235"/>
      <c r="G348" s="258"/>
      <c r="H348" s="258"/>
      <c r="I348" s="279"/>
      <c r="J348" s="279"/>
    </row>
    <row r="349" s="270" customFormat="1" spans="1:10">
      <c r="A349" s="288"/>
      <c r="B349" s="98"/>
      <c r="C349" s="67"/>
      <c r="D349" s="377"/>
      <c r="E349" s="379"/>
      <c r="F349" s="235"/>
      <c r="G349" s="258"/>
      <c r="H349" s="258"/>
      <c r="I349" s="279"/>
      <c r="J349" s="279"/>
    </row>
    <row r="350" s="270" customFormat="1" spans="1:10">
      <c r="A350" s="288"/>
      <c r="B350" s="98"/>
      <c r="C350" s="67"/>
      <c r="D350" s="377"/>
      <c r="E350" s="379"/>
      <c r="F350" s="235"/>
      <c r="G350" s="258"/>
      <c r="H350" s="258"/>
      <c r="I350" s="279"/>
      <c r="J350" s="279"/>
    </row>
    <row r="351" s="270" customFormat="1" spans="1:10">
      <c r="A351" s="288"/>
      <c r="B351" s="98"/>
      <c r="C351" s="67"/>
      <c r="D351" s="377"/>
      <c r="E351" s="379"/>
      <c r="F351" s="235"/>
      <c r="G351" s="258"/>
      <c r="H351" s="258"/>
      <c r="I351" s="279"/>
      <c r="J351" s="279"/>
    </row>
    <row r="352" s="270" customFormat="1" spans="1:10">
      <c r="A352" s="288"/>
      <c r="B352" s="293"/>
      <c r="C352" s="61"/>
      <c r="D352" s="377"/>
      <c r="E352" s="386"/>
      <c r="F352" s="387"/>
      <c r="G352" s="254"/>
      <c r="H352" s="254"/>
      <c r="I352" s="279"/>
      <c r="J352" s="279"/>
    </row>
    <row r="353" s="270" customFormat="1" spans="1:10">
      <c r="A353" s="288"/>
      <c r="B353" s="293"/>
      <c r="C353" s="61"/>
      <c r="D353" s="377"/>
      <c r="E353" s="386"/>
      <c r="F353" s="387"/>
      <c r="G353" s="254"/>
      <c r="H353" s="254"/>
      <c r="I353" s="279"/>
      <c r="J353" s="279"/>
    </row>
    <row r="354" s="270" customFormat="1" spans="1:10">
      <c r="A354" s="288"/>
      <c r="B354" s="293"/>
      <c r="C354" s="61"/>
      <c r="D354" s="377"/>
      <c r="E354" s="386"/>
      <c r="F354" s="387"/>
      <c r="G354" s="254"/>
      <c r="H354" s="254"/>
      <c r="I354" s="279"/>
      <c r="J354" s="279"/>
    </row>
    <row r="355" s="270" customFormat="1" spans="1:10">
      <c r="A355" s="288"/>
      <c r="B355" s="293"/>
      <c r="C355" s="61"/>
      <c r="D355" s="377"/>
      <c r="E355" s="386"/>
      <c r="F355" s="387"/>
      <c r="G355" s="254"/>
      <c r="H355" s="254"/>
      <c r="I355" s="279"/>
      <c r="J355" s="279"/>
    </row>
    <row r="356" s="270" customFormat="1" spans="1:10">
      <c r="A356" s="288"/>
      <c r="B356" s="293"/>
      <c r="C356" s="61"/>
      <c r="D356" s="377"/>
      <c r="E356" s="386"/>
      <c r="F356" s="387"/>
      <c r="G356" s="258"/>
      <c r="H356" s="258"/>
      <c r="I356" s="279"/>
      <c r="J356" s="279"/>
    </row>
    <row r="357" s="270" customFormat="1" spans="1:10">
      <c r="A357" s="288"/>
      <c r="B357" s="293"/>
      <c r="C357" s="61"/>
      <c r="D357" s="377"/>
      <c r="E357" s="386"/>
      <c r="F357" s="387"/>
      <c r="G357" s="258"/>
      <c r="H357" s="258"/>
      <c r="I357" s="279"/>
      <c r="J357" s="279"/>
    </row>
    <row r="358" s="270" customFormat="1" spans="1:10">
      <c r="A358" s="288"/>
      <c r="B358" s="293"/>
      <c r="C358" s="61"/>
      <c r="D358" s="377"/>
      <c r="E358" s="386"/>
      <c r="F358" s="387"/>
      <c r="G358" s="258"/>
      <c r="H358" s="258"/>
      <c r="I358" s="279"/>
      <c r="J358" s="279"/>
    </row>
    <row r="359" s="270" customFormat="1" spans="1:10">
      <c r="A359" s="288"/>
      <c r="B359" s="293"/>
      <c r="C359" s="61"/>
      <c r="D359" s="377"/>
      <c r="E359" s="386"/>
      <c r="F359" s="387"/>
      <c r="G359" s="258"/>
      <c r="H359" s="258"/>
      <c r="I359" s="279"/>
      <c r="J359" s="279"/>
    </row>
    <row r="360" s="270" customFormat="1" spans="1:10">
      <c r="A360" s="288"/>
      <c r="B360" s="293"/>
      <c r="C360" s="231"/>
      <c r="D360" s="377"/>
      <c r="E360" s="386"/>
      <c r="F360" s="387"/>
      <c r="G360" s="388"/>
      <c r="H360" s="388"/>
      <c r="I360" s="279"/>
      <c r="J360" s="279"/>
    </row>
    <row r="361" s="270" customFormat="1" spans="1:10">
      <c r="A361" s="288"/>
      <c r="B361" s="293"/>
      <c r="C361" s="231"/>
      <c r="D361" s="377"/>
      <c r="E361" s="386"/>
      <c r="F361" s="387"/>
      <c r="G361" s="388"/>
      <c r="H361" s="388"/>
      <c r="I361" s="279"/>
      <c r="J361" s="279"/>
    </row>
    <row r="362" s="270" customFormat="1" spans="1:10">
      <c r="A362" s="288"/>
      <c r="B362" s="293"/>
      <c r="C362" s="61"/>
      <c r="D362" s="377"/>
      <c r="E362" s="386"/>
      <c r="F362" s="389"/>
      <c r="G362" s="388"/>
      <c r="H362" s="388"/>
      <c r="I362" s="279"/>
      <c r="J362" s="279"/>
    </row>
    <row r="363" s="270" customFormat="1" spans="1:10">
      <c r="A363" s="288"/>
      <c r="B363" s="293"/>
      <c r="C363" s="61"/>
      <c r="D363" s="377"/>
      <c r="E363" s="386"/>
      <c r="F363" s="389"/>
      <c r="G363" s="388"/>
      <c r="H363" s="388"/>
      <c r="I363" s="279"/>
      <c r="J363" s="279"/>
    </row>
    <row r="364" s="270" customFormat="1" spans="1:10">
      <c r="A364" s="288"/>
      <c r="B364" s="293"/>
      <c r="C364" s="61"/>
      <c r="D364" s="377"/>
      <c r="E364" s="386"/>
      <c r="F364" s="389"/>
      <c r="G364" s="388"/>
      <c r="H364" s="388"/>
      <c r="I364" s="279"/>
      <c r="J364" s="279"/>
    </row>
    <row r="365" s="270" customFormat="1" spans="1:10">
      <c r="A365" s="288"/>
      <c r="B365" s="293"/>
      <c r="C365" s="61"/>
      <c r="D365" s="377"/>
      <c r="E365" s="386"/>
      <c r="F365" s="389"/>
      <c r="G365" s="388"/>
      <c r="H365" s="388"/>
      <c r="I365" s="279"/>
      <c r="J365" s="279"/>
    </row>
    <row r="366" s="270" customFormat="1" spans="1:10">
      <c r="A366" s="288"/>
      <c r="B366" s="293"/>
      <c r="C366" s="61"/>
      <c r="D366" s="377"/>
      <c r="E366" s="386"/>
      <c r="F366" s="389"/>
      <c r="G366" s="388"/>
      <c r="H366" s="388"/>
      <c r="I366" s="279"/>
      <c r="J366" s="279"/>
    </row>
    <row r="367" s="270" customFormat="1" spans="1:10">
      <c r="A367" s="288"/>
      <c r="B367" s="293"/>
      <c r="C367" s="61"/>
      <c r="D367" s="377"/>
      <c r="E367" s="386"/>
      <c r="F367" s="389"/>
      <c r="G367" s="388"/>
      <c r="H367" s="388"/>
      <c r="I367" s="279"/>
      <c r="J367" s="279"/>
    </row>
    <row r="368" s="270" customFormat="1" spans="1:10">
      <c r="A368" s="288"/>
      <c r="B368" s="293"/>
      <c r="C368" s="61"/>
      <c r="D368" s="377"/>
      <c r="E368" s="386"/>
      <c r="F368" s="389"/>
      <c r="G368" s="388"/>
      <c r="H368" s="388"/>
      <c r="I368" s="279"/>
      <c r="J368" s="279"/>
    </row>
    <row r="369" s="270" customFormat="1" spans="1:10">
      <c r="A369" s="288"/>
      <c r="B369" s="293"/>
      <c r="C369" s="61"/>
      <c r="D369" s="377"/>
      <c r="E369" s="386"/>
      <c r="F369" s="389"/>
      <c r="G369" s="388"/>
      <c r="H369" s="388"/>
      <c r="I369" s="279"/>
      <c r="J369" s="279"/>
    </row>
    <row r="370" s="270" customFormat="1" spans="1:10">
      <c r="A370" s="288"/>
      <c r="B370" s="293"/>
      <c r="C370" s="390"/>
      <c r="D370" s="377"/>
      <c r="E370" s="391"/>
      <c r="F370" s="389"/>
      <c r="G370" s="148"/>
      <c r="H370" s="148"/>
      <c r="I370" s="279"/>
      <c r="J370" s="279"/>
    </row>
    <row r="371" s="270" customFormat="1" spans="1:10">
      <c r="A371" s="288"/>
      <c r="B371" s="293"/>
      <c r="C371" s="390"/>
      <c r="D371" s="377"/>
      <c r="E371" s="391"/>
      <c r="F371" s="389"/>
      <c r="G371" s="254"/>
      <c r="H371" s="254"/>
      <c r="I371" s="279"/>
      <c r="J371" s="279"/>
    </row>
    <row r="372" s="270" customFormat="1" spans="1:10">
      <c r="A372" s="288"/>
      <c r="B372" s="293"/>
      <c r="C372" s="390"/>
      <c r="D372" s="377"/>
      <c r="E372" s="391"/>
      <c r="F372" s="389"/>
      <c r="G372" s="254"/>
      <c r="H372" s="254"/>
      <c r="I372" s="279"/>
      <c r="J372" s="279"/>
    </row>
    <row r="373" s="270" customFormat="1" spans="1:10">
      <c r="A373" s="288"/>
      <c r="B373" s="293"/>
      <c r="C373" s="390"/>
      <c r="D373" s="377"/>
      <c r="E373" s="391"/>
      <c r="F373" s="389"/>
      <c r="G373" s="254"/>
      <c r="H373" s="254"/>
      <c r="I373" s="279"/>
      <c r="J373" s="279"/>
    </row>
    <row r="374" s="270" customFormat="1" spans="1:10">
      <c r="A374" s="288"/>
      <c r="B374" s="293"/>
      <c r="C374" s="390"/>
      <c r="D374" s="377"/>
      <c r="E374" s="391"/>
      <c r="F374" s="389"/>
      <c r="G374" s="254"/>
      <c r="H374" s="254"/>
      <c r="I374" s="279"/>
      <c r="J374" s="279"/>
    </row>
    <row r="375" s="270" customFormat="1" spans="1:10">
      <c r="A375" s="288"/>
      <c r="B375" s="293"/>
      <c r="C375" s="390"/>
      <c r="D375" s="377"/>
      <c r="E375" s="391"/>
      <c r="F375" s="389"/>
      <c r="G375" s="254"/>
      <c r="H375" s="254"/>
      <c r="I375" s="279"/>
      <c r="J375" s="279"/>
    </row>
    <row r="376" s="270" customFormat="1" spans="1:10">
      <c r="A376" s="288"/>
      <c r="B376" s="98"/>
      <c r="C376" s="204"/>
      <c r="D376" s="377"/>
      <c r="E376" s="379"/>
      <c r="F376" s="389"/>
      <c r="G376" s="254"/>
      <c r="H376" s="254"/>
      <c r="I376" s="279"/>
      <c r="J376" s="279"/>
    </row>
    <row r="377" s="270" customFormat="1" spans="1:10">
      <c r="A377" s="288"/>
      <c r="B377" s="293"/>
      <c r="C377" s="390"/>
      <c r="D377" s="377"/>
      <c r="E377" s="391"/>
      <c r="F377" s="389"/>
      <c r="G377" s="148"/>
      <c r="H377" s="148"/>
      <c r="I377" s="279"/>
      <c r="J377" s="279"/>
    </row>
    <row r="378" s="270" customFormat="1" spans="1:10">
      <c r="A378" s="288"/>
      <c r="B378" s="293"/>
      <c r="C378" s="390"/>
      <c r="D378" s="377"/>
      <c r="E378" s="391"/>
      <c r="F378" s="389"/>
      <c r="G378" s="254"/>
      <c r="H378" s="254"/>
      <c r="I378" s="279"/>
      <c r="J378" s="279"/>
    </row>
    <row r="379" s="270" customFormat="1" spans="1:10">
      <c r="A379" s="288"/>
      <c r="B379" s="293"/>
      <c r="C379" s="390"/>
      <c r="D379" s="377"/>
      <c r="E379" s="391"/>
      <c r="F379" s="389"/>
      <c r="G379" s="254"/>
      <c r="H379" s="254"/>
      <c r="I379" s="279"/>
      <c r="J379" s="279"/>
    </row>
    <row r="380" s="270" customFormat="1" spans="1:10">
      <c r="A380" s="288"/>
      <c r="B380" s="293"/>
      <c r="C380" s="390"/>
      <c r="D380" s="377"/>
      <c r="E380" s="391"/>
      <c r="F380" s="389"/>
      <c r="G380" s="254"/>
      <c r="H380" s="254"/>
      <c r="I380" s="279"/>
      <c r="J380" s="279"/>
    </row>
    <row r="381" s="270" customFormat="1" spans="1:10">
      <c r="A381" s="288"/>
      <c r="B381" s="293"/>
      <c r="C381" s="390"/>
      <c r="D381" s="377"/>
      <c r="E381" s="391"/>
      <c r="F381" s="389"/>
      <c r="G381" s="254"/>
      <c r="H381" s="254"/>
      <c r="I381" s="279"/>
      <c r="J381" s="279"/>
    </row>
    <row r="382" s="270" customFormat="1" spans="1:10">
      <c r="A382" s="288"/>
      <c r="B382" s="98"/>
      <c r="C382" s="204"/>
      <c r="D382" s="377"/>
      <c r="E382" s="379"/>
      <c r="F382" s="389"/>
      <c r="G382" s="254"/>
      <c r="H382" s="254"/>
      <c r="I382" s="279"/>
      <c r="J382" s="279"/>
    </row>
    <row r="383" s="270" customFormat="1" spans="1:10">
      <c r="A383" s="288"/>
      <c r="B383" s="293"/>
      <c r="C383" s="390"/>
      <c r="D383" s="377"/>
      <c r="E383" s="391"/>
      <c r="F383" s="389"/>
      <c r="G383" s="254"/>
      <c r="H383" s="254"/>
      <c r="I383" s="279"/>
      <c r="J383" s="279"/>
    </row>
    <row r="384" s="270" customFormat="1" spans="1:10">
      <c r="A384" s="288"/>
      <c r="B384" s="293"/>
      <c r="C384" s="390"/>
      <c r="D384" s="377"/>
      <c r="E384" s="391"/>
      <c r="F384" s="389"/>
      <c r="G384" s="254"/>
      <c r="H384" s="254"/>
      <c r="I384" s="279"/>
      <c r="J384" s="279"/>
    </row>
    <row r="385" s="270" customFormat="1" spans="1:10">
      <c r="A385" s="288"/>
      <c r="B385" s="293"/>
      <c r="C385" s="390"/>
      <c r="D385" s="377"/>
      <c r="E385" s="391"/>
      <c r="F385" s="389"/>
      <c r="G385" s="258"/>
      <c r="H385" s="258"/>
      <c r="I385" s="279"/>
      <c r="J385" s="279"/>
    </row>
    <row r="386" s="270" customFormat="1" spans="1:10">
      <c r="A386" s="288"/>
      <c r="B386" s="293"/>
      <c r="C386" s="390"/>
      <c r="D386" s="377"/>
      <c r="E386" s="391"/>
      <c r="F386" s="389"/>
      <c r="G386" s="254"/>
      <c r="H386" s="254"/>
      <c r="I386" s="279"/>
      <c r="J386" s="279"/>
    </row>
    <row r="387" s="270" customFormat="1" spans="1:10">
      <c r="A387" s="288"/>
      <c r="B387" s="293"/>
      <c r="C387" s="390"/>
      <c r="D387" s="377"/>
      <c r="E387" s="391"/>
      <c r="F387" s="389"/>
      <c r="G387" s="258"/>
      <c r="H387" s="258"/>
      <c r="I387" s="279"/>
      <c r="J387" s="279"/>
    </row>
    <row r="388" s="270" customFormat="1" spans="1:10">
      <c r="A388" s="288"/>
      <c r="B388" s="293"/>
      <c r="C388" s="390"/>
      <c r="D388" s="377"/>
      <c r="E388" s="391"/>
      <c r="F388" s="389"/>
      <c r="G388" s="148"/>
      <c r="H388" s="148"/>
      <c r="I388" s="279"/>
      <c r="J388" s="279"/>
    </row>
    <row r="389" s="270" customFormat="1" spans="1:10">
      <c r="A389" s="288"/>
      <c r="B389" s="293"/>
      <c r="C389" s="390"/>
      <c r="D389" s="377"/>
      <c r="E389" s="391"/>
      <c r="F389" s="389"/>
      <c r="G389" s="254"/>
      <c r="H389" s="254"/>
      <c r="I389" s="279"/>
      <c r="J389" s="279"/>
    </row>
    <row r="390" s="270" customFormat="1" spans="1:10">
      <c r="A390" s="288"/>
      <c r="B390" s="293"/>
      <c r="C390" s="390"/>
      <c r="D390" s="377"/>
      <c r="E390" s="391"/>
      <c r="F390" s="389"/>
      <c r="G390" s="254"/>
      <c r="H390" s="254"/>
      <c r="I390" s="279"/>
      <c r="J390" s="279"/>
    </row>
    <row r="391" s="270" customFormat="1" spans="1:10">
      <c r="A391" s="288"/>
      <c r="B391" s="293"/>
      <c r="C391" s="390"/>
      <c r="D391" s="377"/>
      <c r="E391" s="391"/>
      <c r="F391" s="389"/>
      <c r="G391" s="254"/>
      <c r="H391" s="254"/>
      <c r="I391" s="279"/>
      <c r="J391" s="279"/>
    </row>
    <row r="392" s="270" customFormat="1" spans="1:10">
      <c r="A392" s="288"/>
      <c r="B392" s="293"/>
      <c r="C392" s="390"/>
      <c r="D392" s="377"/>
      <c r="E392" s="391"/>
      <c r="F392" s="389"/>
      <c r="G392" s="254"/>
      <c r="H392" s="254"/>
      <c r="I392" s="279"/>
      <c r="J392" s="279"/>
    </row>
    <row r="393" s="270" customFormat="1" spans="1:10">
      <c r="A393" s="288"/>
      <c r="B393" s="293"/>
      <c r="C393" s="390"/>
      <c r="D393" s="377"/>
      <c r="E393" s="391"/>
      <c r="F393" s="389"/>
      <c r="G393" s="148"/>
      <c r="H393" s="148"/>
      <c r="I393" s="279"/>
      <c r="J393" s="279"/>
    </row>
    <row r="394" s="270" customFormat="1" spans="1:10">
      <c r="A394" s="288"/>
      <c r="B394" s="293"/>
      <c r="C394" s="390"/>
      <c r="D394" s="377"/>
      <c r="E394" s="391"/>
      <c r="F394" s="389"/>
      <c r="G394" s="254"/>
      <c r="H394" s="254"/>
      <c r="I394" s="279"/>
      <c r="J394" s="279"/>
    </row>
    <row r="395" s="270" customFormat="1" spans="1:10">
      <c r="A395" s="288"/>
      <c r="B395" s="293"/>
      <c r="C395" s="390"/>
      <c r="D395" s="377"/>
      <c r="E395" s="391"/>
      <c r="F395" s="389"/>
      <c r="G395" s="254"/>
      <c r="H395" s="254"/>
      <c r="I395" s="279"/>
      <c r="J395" s="279"/>
    </row>
    <row r="396" s="270" customFormat="1" spans="1:10">
      <c r="A396" s="288"/>
      <c r="B396" s="293"/>
      <c r="C396" s="390"/>
      <c r="D396" s="377"/>
      <c r="E396" s="391"/>
      <c r="F396" s="389"/>
      <c r="G396" s="254"/>
      <c r="H396" s="254"/>
      <c r="I396" s="279"/>
      <c r="J396" s="279"/>
    </row>
    <row r="397" s="270" customFormat="1" spans="1:10">
      <c r="A397" s="288"/>
      <c r="B397" s="293"/>
      <c r="C397" s="390"/>
      <c r="D397" s="377"/>
      <c r="E397" s="391"/>
      <c r="F397" s="389"/>
      <c r="G397" s="254"/>
      <c r="H397" s="254"/>
      <c r="I397" s="279"/>
      <c r="J397" s="279"/>
    </row>
    <row r="398" s="270" customFormat="1" spans="1:10">
      <c r="A398" s="288"/>
      <c r="B398" s="293"/>
      <c r="C398" s="390"/>
      <c r="D398" s="377"/>
      <c r="E398" s="391"/>
      <c r="F398" s="168"/>
      <c r="G398" s="148"/>
      <c r="H398" s="148"/>
      <c r="I398" s="279"/>
      <c r="J398" s="279"/>
    </row>
    <row r="399" s="270" customFormat="1" spans="1:10">
      <c r="A399" s="288"/>
      <c r="B399" s="293"/>
      <c r="C399" s="390"/>
      <c r="D399" s="377"/>
      <c r="E399" s="391"/>
      <c r="F399" s="168"/>
      <c r="G399" s="254"/>
      <c r="H399" s="254"/>
      <c r="I399" s="279"/>
      <c r="J399" s="279"/>
    </row>
    <row r="400" s="270" customFormat="1" spans="1:10">
      <c r="A400" s="288"/>
      <c r="B400" s="293"/>
      <c r="C400" s="390"/>
      <c r="D400" s="377"/>
      <c r="E400" s="391"/>
      <c r="F400" s="168"/>
      <c r="G400" s="254"/>
      <c r="H400" s="254"/>
      <c r="I400" s="279"/>
      <c r="J400" s="279"/>
    </row>
    <row r="401" s="270" customFormat="1" spans="1:10">
      <c r="A401" s="288"/>
      <c r="B401" s="293"/>
      <c r="C401" s="390"/>
      <c r="D401" s="377"/>
      <c r="E401" s="391"/>
      <c r="F401" s="168"/>
      <c r="G401" s="254"/>
      <c r="H401" s="254"/>
      <c r="I401" s="279"/>
      <c r="J401" s="279"/>
    </row>
    <row r="402" s="270" customFormat="1" spans="1:10">
      <c r="A402" s="288"/>
      <c r="B402" s="293"/>
      <c r="C402" s="390"/>
      <c r="D402" s="377"/>
      <c r="E402" s="391"/>
      <c r="F402" s="168"/>
      <c r="G402" s="254"/>
      <c r="H402" s="254"/>
      <c r="I402" s="279"/>
      <c r="J402" s="279"/>
    </row>
    <row r="403" s="270" customFormat="1" spans="1:10">
      <c r="A403" s="288"/>
      <c r="B403" s="293"/>
      <c r="C403" s="390"/>
      <c r="D403" s="377"/>
      <c r="E403" s="391"/>
      <c r="F403" s="168"/>
      <c r="G403" s="254"/>
      <c r="H403" s="254"/>
      <c r="I403" s="279"/>
      <c r="J403" s="279"/>
    </row>
    <row r="404" s="270" customFormat="1" spans="1:10">
      <c r="A404" s="288"/>
      <c r="B404" s="293"/>
      <c r="C404" s="390"/>
      <c r="D404" s="377"/>
      <c r="E404" s="391"/>
      <c r="F404" s="168"/>
      <c r="G404" s="254"/>
      <c r="H404" s="254"/>
      <c r="I404" s="279"/>
      <c r="J404" s="279"/>
    </row>
    <row r="405" s="270" customFormat="1" spans="1:10">
      <c r="A405" s="288"/>
      <c r="B405" s="293"/>
      <c r="C405" s="390"/>
      <c r="D405" s="377"/>
      <c r="E405" s="391"/>
      <c r="F405" s="168"/>
      <c r="G405" s="254"/>
      <c r="H405" s="254"/>
      <c r="I405" s="279"/>
      <c r="J405" s="279"/>
    </row>
    <row r="406" s="270" customFormat="1" spans="1:10">
      <c r="A406" s="288"/>
      <c r="B406" s="98"/>
      <c r="C406" s="98"/>
      <c r="D406" s="377"/>
      <c r="E406" s="20"/>
      <c r="F406" s="168"/>
      <c r="G406" s="148"/>
      <c r="H406" s="148"/>
      <c r="I406" s="279"/>
      <c r="J406" s="279"/>
    </row>
    <row r="407" s="270" customFormat="1" spans="1:10">
      <c r="A407" s="288"/>
      <c r="B407" s="98"/>
      <c r="C407" s="98"/>
      <c r="D407" s="377"/>
      <c r="E407" s="20"/>
      <c r="F407" s="168"/>
      <c r="G407" s="148"/>
      <c r="H407" s="148"/>
      <c r="I407" s="279"/>
      <c r="J407" s="279"/>
    </row>
    <row r="408" s="270" customFormat="1" spans="1:10">
      <c r="A408" s="288"/>
      <c r="B408" s="98"/>
      <c r="C408" s="98"/>
      <c r="D408" s="377"/>
      <c r="E408" s="20"/>
      <c r="F408" s="168"/>
      <c r="G408" s="254"/>
      <c r="H408" s="254"/>
      <c r="I408" s="279"/>
      <c r="J408" s="279"/>
    </row>
    <row r="409" s="270" customFormat="1" spans="1:10">
      <c r="A409" s="288"/>
      <c r="B409" s="98"/>
      <c r="C409" s="98"/>
      <c r="D409" s="377"/>
      <c r="E409" s="20"/>
      <c r="F409" s="168"/>
      <c r="G409" s="254"/>
      <c r="H409" s="254"/>
      <c r="I409" s="279"/>
      <c r="J409" s="279"/>
    </row>
    <row r="410" s="270" customFormat="1" spans="1:10">
      <c r="A410" s="288"/>
      <c r="B410" s="98"/>
      <c r="C410" s="65"/>
      <c r="D410" s="377"/>
      <c r="E410" s="20"/>
      <c r="F410" s="168"/>
      <c r="G410" s="148"/>
      <c r="H410" s="148"/>
      <c r="I410" s="279"/>
      <c r="J410" s="279"/>
    </row>
    <row r="411" s="270" customFormat="1" spans="1:10">
      <c r="A411" s="288"/>
      <c r="B411" s="98"/>
      <c r="C411" s="65"/>
      <c r="D411" s="377"/>
      <c r="E411" s="20"/>
      <c r="F411" s="168"/>
      <c r="G411" s="148"/>
      <c r="H411" s="148"/>
      <c r="I411" s="279"/>
      <c r="J411" s="279"/>
    </row>
    <row r="412" s="270" customFormat="1" spans="1:10">
      <c r="A412" s="288"/>
      <c r="B412" s="98"/>
      <c r="C412" s="65"/>
      <c r="D412" s="377"/>
      <c r="E412" s="20"/>
      <c r="F412" s="168"/>
      <c r="G412" s="148"/>
      <c r="H412" s="148"/>
      <c r="I412" s="279"/>
      <c r="J412" s="279"/>
    </row>
    <row r="413" s="270" customFormat="1" spans="1:10">
      <c r="A413" s="288"/>
      <c r="B413" s="98"/>
      <c r="C413" s="65"/>
      <c r="D413" s="377"/>
      <c r="E413" s="20"/>
      <c r="F413" s="168"/>
      <c r="G413" s="148"/>
      <c r="H413" s="148"/>
      <c r="I413" s="279"/>
      <c r="J413" s="279"/>
    </row>
    <row r="414" s="270" customFormat="1" spans="1:10">
      <c r="A414" s="288"/>
      <c r="B414" s="98"/>
      <c r="C414" s="65"/>
      <c r="D414" s="377"/>
      <c r="E414" s="20"/>
      <c r="F414" s="168"/>
      <c r="G414" s="148"/>
      <c r="H414" s="148"/>
      <c r="I414" s="279"/>
      <c r="J414" s="279"/>
    </row>
    <row r="415" s="270" customFormat="1" spans="1:10">
      <c r="A415" s="288"/>
      <c r="B415" s="98"/>
      <c r="C415" s="65"/>
      <c r="D415" s="377"/>
      <c r="E415" s="20"/>
      <c r="F415" s="168"/>
      <c r="G415" s="148"/>
      <c r="H415" s="148"/>
      <c r="I415" s="279"/>
      <c r="J415" s="279"/>
    </row>
    <row r="416" s="270" customFormat="1" spans="1:10">
      <c r="A416" s="288"/>
      <c r="B416" s="98"/>
      <c r="C416" s="65"/>
      <c r="D416" s="377"/>
      <c r="E416" s="20"/>
      <c r="F416" s="168"/>
      <c r="G416" s="148"/>
      <c r="H416" s="148"/>
      <c r="I416" s="279"/>
      <c r="J416" s="279"/>
    </row>
    <row r="417" s="270" customFormat="1" spans="1:10">
      <c r="A417" s="288"/>
      <c r="B417" s="119"/>
      <c r="C417" s="65"/>
      <c r="D417" s="377"/>
      <c r="E417" s="20"/>
      <c r="F417" s="168"/>
      <c r="G417" s="392"/>
      <c r="H417" s="392"/>
      <c r="I417" s="279"/>
      <c r="J417" s="279"/>
    </row>
    <row r="418" s="270" customFormat="1" spans="1:10">
      <c r="A418" s="288"/>
      <c r="B418" s="119"/>
      <c r="C418" s="65"/>
      <c r="D418" s="377"/>
      <c r="E418" s="20"/>
      <c r="F418" s="168"/>
      <c r="G418" s="392"/>
      <c r="H418" s="392"/>
      <c r="I418" s="279"/>
      <c r="J418" s="279"/>
    </row>
    <row r="419" s="270" customFormat="1" spans="1:10">
      <c r="A419" s="288"/>
      <c r="B419" s="119"/>
      <c r="C419" s="65"/>
      <c r="D419" s="377"/>
      <c r="E419" s="393"/>
      <c r="F419" s="168"/>
      <c r="G419" s="392"/>
      <c r="H419" s="392"/>
      <c r="I419" s="279"/>
      <c r="J419" s="279"/>
    </row>
    <row r="420" s="270" customFormat="1" spans="1:10">
      <c r="A420" s="288"/>
      <c r="B420" s="119"/>
      <c r="C420" s="65"/>
      <c r="D420" s="377"/>
      <c r="E420" s="393"/>
      <c r="F420" s="168"/>
      <c r="G420" s="392"/>
      <c r="H420" s="392"/>
      <c r="I420" s="279"/>
      <c r="J420" s="279"/>
    </row>
    <row r="421" s="270" customFormat="1" spans="1:10">
      <c r="A421" s="288"/>
      <c r="B421" s="119"/>
      <c r="C421" s="65"/>
      <c r="D421" s="377"/>
      <c r="E421" s="393"/>
      <c r="F421" s="168"/>
      <c r="G421" s="392"/>
      <c r="H421" s="392"/>
      <c r="I421" s="279"/>
      <c r="J421" s="279"/>
    </row>
    <row r="422" s="270" customFormat="1" spans="1:10">
      <c r="A422" s="288"/>
      <c r="B422" s="119"/>
      <c r="C422" s="65"/>
      <c r="D422" s="377"/>
      <c r="E422" s="393"/>
      <c r="F422" s="168"/>
      <c r="G422" s="392"/>
      <c r="H422" s="392"/>
      <c r="I422" s="279"/>
      <c r="J422" s="279"/>
    </row>
    <row r="423" s="270" customFormat="1" spans="1:10">
      <c r="A423" s="288"/>
      <c r="B423" s="119"/>
      <c r="C423" s="65"/>
      <c r="D423" s="377"/>
      <c r="E423" s="393"/>
      <c r="F423" s="168"/>
      <c r="G423" s="392"/>
      <c r="H423" s="392"/>
      <c r="I423" s="279"/>
      <c r="J423" s="279"/>
    </row>
    <row r="424" s="270" customFormat="1" spans="1:10">
      <c r="A424" s="288"/>
      <c r="B424" s="119"/>
      <c r="C424" s="65"/>
      <c r="D424" s="377"/>
      <c r="E424" s="393"/>
      <c r="F424" s="168"/>
      <c r="G424" s="392"/>
      <c r="H424" s="392"/>
      <c r="I424" s="279"/>
      <c r="J424" s="279"/>
    </row>
    <row r="425" s="270" customFormat="1" spans="1:10">
      <c r="A425" s="288"/>
      <c r="B425" s="293"/>
      <c r="C425" s="390"/>
      <c r="D425" s="377"/>
      <c r="E425" s="20"/>
      <c r="F425" s="389"/>
      <c r="G425" s="148"/>
      <c r="H425" s="148"/>
      <c r="I425" s="279"/>
      <c r="J425" s="279"/>
    </row>
    <row r="426" s="270" customFormat="1" spans="1:10">
      <c r="A426" s="288"/>
      <c r="B426" s="293"/>
      <c r="C426" s="390"/>
      <c r="D426" s="377"/>
      <c r="E426" s="20"/>
      <c r="F426" s="389"/>
      <c r="G426" s="258"/>
      <c r="H426" s="258"/>
      <c r="I426" s="279"/>
      <c r="J426" s="279"/>
    </row>
    <row r="427" s="270" customFormat="1" spans="1:10">
      <c r="A427" s="288"/>
      <c r="B427" s="293"/>
      <c r="C427" s="390"/>
      <c r="D427" s="377"/>
      <c r="E427" s="391"/>
      <c r="F427" s="389"/>
      <c r="G427" s="258"/>
      <c r="H427" s="258"/>
      <c r="I427" s="279"/>
      <c r="J427" s="279"/>
    </row>
    <row r="428" s="270" customFormat="1" spans="1:10">
      <c r="A428" s="288"/>
      <c r="B428" s="293"/>
      <c r="C428" s="390"/>
      <c r="D428" s="377"/>
      <c r="E428" s="391"/>
      <c r="F428" s="389"/>
      <c r="G428" s="258"/>
      <c r="H428" s="258"/>
      <c r="I428" s="279"/>
      <c r="J428" s="279"/>
    </row>
    <row r="429" s="270" customFormat="1" spans="1:10">
      <c r="A429" s="288"/>
      <c r="B429" s="293"/>
      <c r="C429" s="390"/>
      <c r="D429" s="377"/>
      <c r="E429" s="391"/>
      <c r="F429" s="389"/>
      <c r="G429" s="258"/>
      <c r="H429" s="258"/>
      <c r="I429" s="279"/>
      <c r="J429" s="279"/>
    </row>
    <row r="430" s="270" customFormat="1" spans="1:10">
      <c r="A430" s="288"/>
      <c r="B430" s="293"/>
      <c r="C430" s="390"/>
      <c r="D430" s="377"/>
      <c r="E430" s="20"/>
      <c r="F430" s="389"/>
      <c r="G430" s="148"/>
      <c r="H430" s="148"/>
      <c r="I430" s="279"/>
      <c r="J430" s="279"/>
    </row>
    <row r="431" s="270" customFormat="1" spans="1:10">
      <c r="A431" s="288"/>
      <c r="B431" s="293"/>
      <c r="C431" s="390"/>
      <c r="D431" s="377"/>
      <c r="E431" s="20"/>
      <c r="F431" s="389"/>
      <c r="G431" s="258"/>
      <c r="H431" s="258"/>
      <c r="I431" s="279"/>
      <c r="J431" s="279"/>
    </row>
    <row r="432" s="270" customFormat="1" spans="1:10">
      <c r="A432" s="288"/>
      <c r="B432" s="293"/>
      <c r="C432" s="390"/>
      <c r="D432" s="377"/>
      <c r="E432" s="391"/>
      <c r="F432" s="389"/>
      <c r="G432" s="258"/>
      <c r="H432" s="258"/>
      <c r="I432" s="279"/>
      <c r="J432" s="279"/>
    </row>
    <row r="433" s="270" customFormat="1" spans="1:10">
      <c r="A433" s="288"/>
      <c r="B433" s="293"/>
      <c r="C433" s="390"/>
      <c r="D433" s="377"/>
      <c r="E433" s="391"/>
      <c r="F433" s="389"/>
      <c r="G433" s="258"/>
      <c r="H433" s="258"/>
      <c r="I433" s="279"/>
      <c r="J433" s="279"/>
    </row>
    <row r="434" s="270" customFormat="1" spans="1:10">
      <c r="A434" s="288"/>
      <c r="B434" s="293"/>
      <c r="C434" s="390"/>
      <c r="D434" s="377"/>
      <c r="E434" s="391"/>
      <c r="F434" s="389"/>
      <c r="G434" s="258"/>
      <c r="H434" s="258"/>
      <c r="I434" s="279"/>
      <c r="J434" s="279"/>
    </row>
    <row r="435" s="270" customFormat="1" spans="1:10">
      <c r="A435" s="288"/>
      <c r="B435" s="293"/>
      <c r="C435" s="390"/>
      <c r="D435" s="377"/>
      <c r="E435" s="391"/>
      <c r="F435" s="389"/>
      <c r="G435" s="258"/>
      <c r="H435" s="258"/>
      <c r="I435" s="279"/>
      <c r="J435" s="279"/>
    </row>
    <row r="436" s="270" customFormat="1" spans="1:10">
      <c r="A436" s="288"/>
      <c r="B436" s="293"/>
      <c r="C436" s="390"/>
      <c r="D436" s="377"/>
      <c r="E436" s="20"/>
      <c r="F436" s="389"/>
      <c r="G436" s="148"/>
      <c r="H436" s="148"/>
      <c r="I436" s="279"/>
      <c r="J436" s="279"/>
    </row>
    <row r="437" s="270" customFormat="1" spans="1:10">
      <c r="A437" s="288"/>
      <c r="B437" s="293"/>
      <c r="C437" s="390"/>
      <c r="D437" s="377"/>
      <c r="E437" s="20"/>
      <c r="F437" s="389"/>
      <c r="G437" s="258"/>
      <c r="H437" s="258"/>
      <c r="I437" s="279"/>
      <c r="J437" s="279"/>
    </row>
    <row r="438" s="270" customFormat="1" spans="1:10">
      <c r="A438" s="288"/>
      <c r="B438" s="293"/>
      <c r="C438" s="390"/>
      <c r="D438" s="377"/>
      <c r="E438" s="391"/>
      <c r="F438" s="389"/>
      <c r="G438" s="258"/>
      <c r="H438" s="258"/>
      <c r="I438" s="279"/>
      <c r="J438" s="279"/>
    </row>
    <row r="439" s="270" customFormat="1" spans="1:10">
      <c r="A439" s="288"/>
      <c r="B439" s="293"/>
      <c r="C439" s="390"/>
      <c r="D439" s="377"/>
      <c r="E439" s="391"/>
      <c r="F439" s="389"/>
      <c r="G439" s="258"/>
      <c r="H439" s="258"/>
      <c r="I439" s="279"/>
      <c r="J439" s="279"/>
    </row>
    <row r="440" s="270" customFormat="1" spans="1:10">
      <c r="A440" s="288"/>
      <c r="B440" s="293"/>
      <c r="C440" s="390"/>
      <c r="D440" s="377"/>
      <c r="E440" s="391"/>
      <c r="F440" s="389"/>
      <c r="G440" s="258"/>
      <c r="H440" s="258"/>
      <c r="I440" s="279"/>
      <c r="J440" s="279"/>
    </row>
    <row r="441" s="270" customFormat="1" spans="1:10">
      <c r="A441" s="288"/>
      <c r="B441" s="293"/>
      <c r="C441" s="390"/>
      <c r="D441" s="377"/>
      <c r="E441" s="391"/>
      <c r="F441" s="389"/>
      <c r="G441" s="258"/>
      <c r="H441" s="258"/>
      <c r="I441" s="279"/>
      <c r="J441" s="279"/>
    </row>
    <row r="442" s="270" customFormat="1" spans="1:10">
      <c r="A442" s="288"/>
      <c r="B442" s="293"/>
      <c r="C442" s="390"/>
      <c r="D442" s="377"/>
      <c r="E442" s="391"/>
      <c r="F442" s="389"/>
      <c r="G442" s="258"/>
      <c r="H442" s="258"/>
      <c r="I442" s="279"/>
      <c r="J442" s="279"/>
    </row>
    <row r="443" s="270" customFormat="1" spans="1:10">
      <c r="A443" s="288"/>
      <c r="B443" s="293"/>
      <c r="C443" s="390"/>
      <c r="D443" s="377"/>
      <c r="E443" s="391"/>
      <c r="F443" s="389"/>
      <c r="G443" s="258"/>
      <c r="H443" s="258"/>
      <c r="I443" s="279"/>
      <c r="J443" s="279"/>
    </row>
    <row r="444" s="270" customFormat="1" spans="1:10">
      <c r="A444" s="288"/>
      <c r="B444" s="293"/>
      <c r="C444" s="390"/>
      <c r="D444" s="377"/>
      <c r="E444" s="20"/>
      <c r="F444" s="389"/>
      <c r="G444" s="148"/>
      <c r="H444" s="148"/>
      <c r="I444" s="279"/>
      <c r="J444" s="279"/>
    </row>
    <row r="445" s="270" customFormat="1" spans="1:10">
      <c r="A445" s="288"/>
      <c r="B445" s="293"/>
      <c r="C445" s="390"/>
      <c r="D445" s="377"/>
      <c r="E445" s="20"/>
      <c r="F445" s="389"/>
      <c r="G445" s="258"/>
      <c r="H445" s="258"/>
      <c r="I445" s="279"/>
      <c r="J445" s="279"/>
    </row>
    <row r="446" s="270" customFormat="1" spans="1:10">
      <c r="A446" s="288"/>
      <c r="B446" s="293"/>
      <c r="C446" s="390"/>
      <c r="D446" s="377"/>
      <c r="E446" s="391"/>
      <c r="F446" s="389"/>
      <c r="G446" s="258"/>
      <c r="H446" s="258"/>
      <c r="I446" s="279"/>
      <c r="J446" s="279"/>
    </row>
    <row r="447" s="270" customFormat="1" spans="1:10">
      <c r="A447" s="288"/>
      <c r="B447" s="293"/>
      <c r="C447" s="390"/>
      <c r="D447" s="377"/>
      <c r="E447" s="391"/>
      <c r="F447" s="389"/>
      <c r="G447" s="258"/>
      <c r="H447" s="258"/>
      <c r="I447" s="279"/>
      <c r="J447" s="279"/>
    </row>
    <row r="448" s="270" customFormat="1" spans="1:10">
      <c r="A448" s="288"/>
      <c r="B448" s="293"/>
      <c r="C448" s="390"/>
      <c r="D448" s="377"/>
      <c r="E448" s="29"/>
      <c r="F448" s="389"/>
      <c r="G448" s="258"/>
      <c r="H448" s="258"/>
      <c r="I448" s="279"/>
      <c r="J448" s="279"/>
    </row>
    <row r="449" s="270" customFormat="1" spans="1:10">
      <c r="A449" s="288"/>
      <c r="B449" s="293"/>
      <c r="C449" s="390"/>
      <c r="D449" s="377"/>
      <c r="E449" s="391"/>
      <c r="F449" s="389"/>
      <c r="G449" s="258"/>
      <c r="H449" s="258"/>
      <c r="I449" s="279"/>
      <c r="J449" s="279"/>
    </row>
    <row r="450" s="270" customFormat="1" spans="1:10">
      <c r="A450" s="288"/>
      <c r="B450" s="293"/>
      <c r="C450" s="390"/>
      <c r="D450" s="377"/>
      <c r="E450" s="20"/>
      <c r="F450" s="389"/>
      <c r="G450" s="148"/>
      <c r="H450" s="148"/>
      <c r="I450" s="279"/>
      <c r="J450" s="279"/>
    </row>
    <row r="451" s="270" customFormat="1" spans="1:10">
      <c r="A451" s="288"/>
      <c r="B451" s="293"/>
      <c r="C451" s="390"/>
      <c r="D451" s="377"/>
      <c r="E451" s="20"/>
      <c r="F451" s="389"/>
      <c r="G451" s="258"/>
      <c r="H451" s="258"/>
      <c r="I451" s="279"/>
      <c r="J451" s="279"/>
    </row>
    <row r="452" s="270" customFormat="1" spans="1:10">
      <c r="A452" s="288"/>
      <c r="B452" s="293"/>
      <c r="C452" s="390"/>
      <c r="D452" s="377"/>
      <c r="E452" s="391"/>
      <c r="F452" s="389"/>
      <c r="G452" s="258"/>
      <c r="H452" s="258"/>
      <c r="I452" s="279"/>
      <c r="J452" s="279"/>
    </row>
    <row r="453" s="270" customFormat="1" spans="1:10">
      <c r="A453" s="288"/>
      <c r="B453" s="293"/>
      <c r="C453" s="390"/>
      <c r="D453" s="377"/>
      <c r="E453" s="391"/>
      <c r="F453" s="389"/>
      <c r="G453" s="258"/>
      <c r="H453" s="258"/>
      <c r="I453" s="279"/>
      <c r="J453" s="279"/>
    </row>
    <row r="454" s="270" customFormat="1" spans="1:10">
      <c r="A454" s="288"/>
      <c r="B454" s="293"/>
      <c r="C454" s="390"/>
      <c r="D454" s="377"/>
      <c r="E454" s="391"/>
      <c r="F454" s="389"/>
      <c r="G454" s="258"/>
      <c r="H454" s="258"/>
      <c r="I454" s="279"/>
      <c r="J454" s="279"/>
    </row>
    <row r="455" s="270" customFormat="1" spans="1:10">
      <c r="A455" s="288"/>
      <c r="B455" s="293"/>
      <c r="C455" s="390"/>
      <c r="D455" s="377"/>
      <c r="E455" s="20"/>
      <c r="F455" s="389"/>
      <c r="G455" s="148"/>
      <c r="H455" s="148"/>
      <c r="I455" s="279"/>
      <c r="J455" s="279"/>
    </row>
    <row r="456" s="270" customFormat="1" spans="1:10">
      <c r="A456" s="288"/>
      <c r="B456" s="293"/>
      <c r="C456" s="390"/>
      <c r="D456" s="377"/>
      <c r="E456" s="20"/>
      <c r="F456" s="389"/>
      <c r="G456" s="258"/>
      <c r="H456" s="258"/>
      <c r="I456" s="279"/>
      <c r="J456" s="279"/>
    </row>
    <row r="457" s="270" customFormat="1" spans="1:10">
      <c r="A457" s="288"/>
      <c r="B457" s="293"/>
      <c r="C457" s="390"/>
      <c r="D457" s="377"/>
      <c r="E457" s="20"/>
      <c r="F457" s="389"/>
      <c r="G457" s="258"/>
      <c r="H457" s="258"/>
      <c r="I457" s="279"/>
      <c r="J457" s="279"/>
    </row>
    <row r="458" s="270" customFormat="1" spans="1:10">
      <c r="A458" s="288"/>
      <c r="B458" s="293"/>
      <c r="C458" s="390"/>
      <c r="D458" s="377"/>
      <c r="E458" s="20"/>
      <c r="F458" s="389"/>
      <c r="G458" s="258"/>
      <c r="H458" s="258"/>
      <c r="I458" s="279"/>
      <c r="J458" s="279"/>
    </row>
    <row r="459" s="270" customFormat="1" spans="1:10">
      <c r="A459" s="288"/>
      <c r="B459" s="293"/>
      <c r="C459" s="390"/>
      <c r="D459" s="377"/>
      <c r="E459" s="20"/>
      <c r="F459" s="389"/>
      <c r="G459" s="258"/>
      <c r="H459" s="258"/>
      <c r="I459" s="279"/>
      <c r="J459" s="279"/>
    </row>
    <row r="460" s="270" customFormat="1" spans="1:10">
      <c r="A460" s="288"/>
      <c r="B460" s="293"/>
      <c r="C460" s="390"/>
      <c r="D460" s="377"/>
      <c r="E460" s="391"/>
      <c r="F460" s="389"/>
      <c r="G460" s="258"/>
      <c r="H460" s="258"/>
      <c r="I460" s="279"/>
      <c r="J460" s="279"/>
    </row>
    <row r="461" s="270" customFormat="1" spans="1:10">
      <c r="A461" s="288"/>
      <c r="B461" s="293"/>
      <c r="C461" s="390"/>
      <c r="D461" s="377"/>
      <c r="E461" s="391"/>
      <c r="F461" s="389"/>
      <c r="G461" s="258"/>
      <c r="H461" s="258"/>
      <c r="I461" s="279"/>
      <c r="J461" s="279"/>
    </row>
    <row r="462" s="270" customFormat="1" spans="1:10">
      <c r="A462" s="288"/>
      <c r="B462" s="293"/>
      <c r="C462" s="390"/>
      <c r="D462" s="377"/>
      <c r="E462" s="391"/>
      <c r="F462" s="389"/>
      <c r="G462" s="258"/>
      <c r="H462" s="258"/>
      <c r="I462" s="279"/>
      <c r="J462" s="279"/>
    </row>
    <row r="463" s="270" customFormat="1" spans="1:10">
      <c r="A463" s="288"/>
      <c r="B463" s="293"/>
      <c r="C463" s="390"/>
      <c r="D463" s="377"/>
      <c r="E463" s="391"/>
      <c r="F463" s="389"/>
      <c r="G463" s="258"/>
      <c r="H463" s="258"/>
      <c r="I463" s="279"/>
      <c r="J463" s="279"/>
    </row>
    <row r="464" s="270" customFormat="1" spans="1:10">
      <c r="A464" s="288"/>
      <c r="B464" s="293"/>
      <c r="C464" s="390"/>
      <c r="D464" s="377"/>
      <c r="E464" s="391"/>
      <c r="F464" s="389"/>
      <c r="G464" s="258"/>
      <c r="H464" s="258"/>
      <c r="I464" s="279"/>
      <c r="J464" s="279"/>
    </row>
    <row r="465" s="270" customFormat="1" spans="1:10">
      <c r="A465" s="288"/>
      <c r="B465" s="293"/>
      <c r="C465" s="390"/>
      <c r="D465" s="377"/>
      <c r="E465" s="391"/>
      <c r="F465" s="389"/>
      <c r="G465" s="258"/>
      <c r="H465" s="258"/>
      <c r="I465" s="279"/>
      <c r="J465" s="279"/>
    </row>
    <row r="466" s="270" customFormat="1" spans="1:10">
      <c r="A466" s="288"/>
      <c r="B466" s="293"/>
      <c r="C466" s="390"/>
      <c r="D466" s="377"/>
      <c r="E466" s="20"/>
      <c r="F466" s="389"/>
      <c r="G466" s="148"/>
      <c r="H466" s="148"/>
      <c r="I466" s="279"/>
      <c r="J466" s="279"/>
    </row>
    <row r="467" s="270" customFormat="1" spans="1:10">
      <c r="A467" s="288"/>
      <c r="B467" s="293"/>
      <c r="C467" s="390"/>
      <c r="D467" s="377"/>
      <c r="E467" s="20"/>
      <c r="F467" s="389"/>
      <c r="G467" s="258"/>
      <c r="H467" s="258"/>
      <c r="I467" s="279"/>
      <c r="J467" s="279"/>
    </row>
    <row r="468" s="270" customFormat="1" spans="1:10">
      <c r="A468" s="288"/>
      <c r="B468" s="293"/>
      <c r="C468" s="390"/>
      <c r="D468" s="377"/>
      <c r="E468" s="391"/>
      <c r="F468" s="389"/>
      <c r="G468" s="258"/>
      <c r="H468" s="258"/>
      <c r="I468" s="279"/>
      <c r="J468" s="279"/>
    </row>
    <row r="469" s="270" customFormat="1" spans="1:10">
      <c r="A469" s="288"/>
      <c r="B469" s="293"/>
      <c r="C469" s="390"/>
      <c r="D469" s="377"/>
      <c r="E469" s="391"/>
      <c r="F469" s="389"/>
      <c r="G469" s="258"/>
      <c r="H469" s="258"/>
      <c r="I469" s="279"/>
      <c r="J469" s="279"/>
    </row>
    <row r="470" s="270" customFormat="1" spans="1:10">
      <c r="A470" s="288"/>
      <c r="B470" s="293"/>
      <c r="C470" s="390"/>
      <c r="D470" s="377"/>
      <c r="E470" s="391"/>
      <c r="F470" s="389"/>
      <c r="G470" s="258"/>
      <c r="H470" s="258"/>
      <c r="I470" s="279"/>
      <c r="J470" s="279"/>
    </row>
    <row r="471" s="270" customFormat="1" spans="1:10">
      <c r="A471" s="288"/>
      <c r="B471" s="293"/>
      <c r="C471" s="390"/>
      <c r="D471" s="377"/>
      <c r="E471" s="391"/>
      <c r="F471" s="389"/>
      <c r="G471" s="258"/>
      <c r="H471" s="258"/>
      <c r="I471" s="279"/>
      <c r="J471" s="279"/>
    </row>
    <row r="472" s="270" customFormat="1" spans="1:10">
      <c r="A472" s="288"/>
      <c r="B472" s="293"/>
      <c r="C472" s="390"/>
      <c r="D472" s="377"/>
      <c r="E472" s="20"/>
      <c r="F472" s="389"/>
      <c r="G472" s="258"/>
      <c r="H472" s="258"/>
      <c r="I472" s="279"/>
      <c r="J472" s="279"/>
    </row>
    <row r="473" s="270" customFormat="1" spans="1:10">
      <c r="A473" s="288"/>
      <c r="B473" s="293"/>
      <c r="C473" s="390"/>
      <c r="D473" s="377"/>
      <c r="E473" s="20"/>
      <c r="F473" s="389"/>
      <c r="G473" s="258"/>
      <c r="H473" s="258"/>
      <c r="I473" s="279"/>
      <c r="J473" s="279"/>
    </row>
    <row r="474" s="270" customFormat="1" ht="20" customHeight="1" spans="1:10">
      <c r="A474" s="288"/>
      <c r="B474" s="293"/>
      <c r="C474" s="390"/>
      <c r="D474" s="377"/>
      <c r="E474" s="20"/>
      <c r="F474" s="389"/>
      <c r="G474" s="148"/>
      <c r="H474" s="148"/>
      <c r="I474" s="279"/>
      <c r="J474" s="279"/>
    </row>
    <row r="475" s="270" customFormat="1" spans="1:10">
      <c r="A475" s="288"/>
      <c r="B475" s="293"/>
      <c r="C475" s="390"/>
      <c r="D475" s="377"/>
      <c r="E475" s="20"/>
      <c r="F475" s="389"/>
      <c r="G475" s="258"/>
      <c r="H475" s="258"/>
      <c r="I475" s="279"/>
      <c r="J475" s="279"/>
    </row>
    <row r="476" s="270" customFormat="1" spans="1:10">
      <c r="A476" s="288"/>
      <c r="B476" s="293"/>
      <c r="C476" s="390"/>
      <c r="D476" s="377"/>
      <c r="E476" s="391"/>
      <c r="F476" s="389"/>
      <c r="G476" s="258"/>
      <c r="H476" s="258"/>
      <c r="I476" s="279"/>
      <c r="J476" s="279"/>
    </row>
    <row r="477" s="270" customFormat="1" spans="1:10">
      <c r="A477" s="288"/>
      <c r="B477" s="293"/>
      <c r="C477" s="390"/>
      <c r="D477" s="377"/>
      <c r="E477" s="391"/>
      <c r="F477" s="389"/>
      <c r="G477" s="258"/>
      <c r="H477" s="258"/>
      <c r="I477" s="279"/>
      <c r="J477" s="279"/>
    </row>
    <row r="478" s="270" customFormat="1" spans="1:10">
      <c r="A478" s="288"/>
      <c r="B478" s="293"/>
      <c r="C478" s="390"/>
      <c r="D478" s="377"/>
      <c r="E478" s="391"/>
      <c r="F478" s="389"/>
      <c r="G478" s="258"/>
      <c r="H478" s="258"/>
      <c r="I478" s="279"/>
      <c r="J478" s="279"/>
    </row>
    <row r="479" s="270" customFormat="1" spans="1:10">
      <c r="A479" s="288"/>
      <c r="B479" s="293"/>
      <c r="C479" s="390"/>
      <c r="D479" s="377"/>
      <c r="E479" s="20"/>
      <c r="F479" s="389"/>
      <c r="G479" s="258"/>
      <c r="H479" s="258"/>
      <c r="I479" s="279"/>
      <c r="J479" s="279"/>
    </row>
    <row r="480" s="270" customFormat="1" spans="1:10">
      <c r="A480" s="288"/>
      <c r="B480" s="293"/>
      <c r="C480" s="390"/>
      <c r="D480" s="377"/>
      <c r="E480" s="20"/>
      <c r="F480" s="389"/>
      <c r="G480" s="258"/>
      <c r="H480" s="258"/>
      <c r="I480" s="279"/>
      <c r="J480" s="279"/>
    </row>
    <row r="481" s="270" customFormat="1" spans="1:10">
      <c r="A481" s="288"/>
      <c r="B481" s="293"/>
      <c r="C481" s="390"/>
      <c r="D481" s="377"/>
      <c r="E481" s="20"/>
      <c r="F481" s="389"/>
      <c r="G481" s="258"/>
      <c r="H481" s="258"/>
      <c r="I481" s="279"/>
      <c r="J481" s="279"/>
    </row>
    <row r="482" s="270" customFormat="1" spans="1:10">
      <c r="A482" s="288"/>
      <c r="B482" s="293"/>
      <c r="C482" s="390"/>
      <c r="D482" s="377"/>
      <c r="E482" s="20"/>
      <c r="F482" s="389"/>
      <c r="G482" s="258"/>
      <c r="H482" s="258"/>
      <c r="I482" s="279"/>
      <c r="J482" s="279"/>
    </row>
    <row r="483" s="270" customFormat="1" spans="1:10">
      <c r="A483" s="288"/>
      <c r="B483" s="293"/>
      <c r="C483" s="390"/>
      <c r="D483" s="377"/>
      <c r="E483" s="20"/>
      <c r="F483" s="389"/>
      <c r="G483" s="148"/>
      <c r="H483" s="148"/>
      <c r="I483" s="279"/>
      <c r="J483" s="279"/>
    </row>
    <row r="484" s="270" customFormat="1" spans="1:10">
      <c r="A484" s="288"/>
      <c r="B484" s="293"/>
      <c r="C484" s="390"/>
      <c r="D484" s="377"/>
      <c r="E484" s="20"/>
      <c r="F484" s="389"/>
      <c r="G484" s="258"/>
      <c r="H484" s="258"/>
      <c r="I484" s="279"/>
      <c r="J484" s="279"/>
    </row>
    <row r="485" s="270" customFormat="1" spans="1:10">
      <c r="A485" s="288"/>
      <c r="B485" s="293"/>
      <c r="C485" s="390"/>
      <c r="D485" s="377"/>
      <c r="E485" s="391"/>
      <c r="F485" s="389"/>
      <c r="G485" s="258"/>
      <c r="H485" s="258"/>
      <c r="I485" s="279"/>
      <c r="J485" s="279"/>
    </row>
    <row r="486" s="270" customFormat="1" spans="1:10">
      <c r="A486" s="288"/>
      <c r="B486" s="293"/>
      <c r="C486" s="390"/>
      <c r="D486" s="377"/>
      <c r="E486" s="391"/>
      <c r="F486" s="389"/>
      <c r="G486" s="258"/>
      <c r="H486" s="258"/>
      <c r="I486" s="279"/>
      <c r="J486" s="279"/>
    </row>
    <row r="487" s="270" customFormat="1" spans="1:10">
      <c r="A487" s="288"/>
      <c r="B487" s="293"/>
      <c r="C487" s="390"/>
      <c r="D487" s="377"/>
      <c r="E487" s="20"/>
      <c r="F487" s="389"/>
      <c r="G487" s="258"/>
      <c r="H487" s="258"/>
      <c r="I487" s="279"/>
      <c r="J487" s="279"/>
    </row>
    <row r="488" s="270" customFormat="1" spans="1:10">
      <c r="A488" s="288"/>
      <c r="B488" s="293"/>
      <c r="C488" s="390"/>
      <c r="D488" s="377"/>
      <c r="E488" s="391"/>
      <c r="F488" s="389"/>
      <c r="G488" s="258"/>
      <c r="H488" s="258"/>
      <c r="I488" s="279"/>
      <c r="J488" s="279"/>
    </row>
    <row r="489" s="270" customFormat="1" spans="1:10">
      <c r="A489" s="288"/>
      <c r="B489" s="293"/>
      <c r="C489" s="390"/>
      <c r="D489" s="377"/>
      <c r="E489" s="20"/>
      <c r="F489" s="389"/>
      <c r="G489" s="258"/>
      <c r="H489" s="258"/>
      <c r="I489" s="279"/>
      <c r="J489" s="279"/>
    </row>
    <row r="490" s="270" customFormat="1" spans="1:10">
      <c r="A490" s="288"/>
      <c r="B490" s="293"/>
      <c r="C490" s="390"/>
      <c r="D490" s="377"/>
      <c r="E490" s="20"/>
      <c r="F490" s="389"/>
      <c r="G490" s="258"/>
      <c r="H490" s="258"/>
      <c r="I490" s="279"/>
      <c r="J490" s="279"/>
    </row>
    <row r="491" s="270" customFormat="1" spans="1:10">
      <c r="A491" s="288"/>
      <c r="B491" s="293"/>
      <c r="C491" s="390"/>
      <c r="D491" s="377"/>
      <c r="E491" s="20"/>
      <c r="F491" s="389"/>
      <c r="G491" s="148"/>
      <c r="H491" s="148"/>
      <c r="I491" s="279"/>
      <c r="J491" s="279"/>
    </row>
    <row r="492" s="270" customFormat="1" spans="1:10">
      <c r="A492" s="288"/>
      <c r="B492" s="293"/>
      <c r="C492" s="390"/>
      <c r="D492" s="377"/>
      <c r="E492" s="20"/>
      <c r="F492" s="389"/>
      <c r="G492" s="258"/>
      <c r="H492" s="258"/>
      <c r="I492" s="279"/>
      <c r="J492" s="279"/>
    </row>
    <row r="493" s="270" customFormat="1" spans="1:10">
      <c r="A493" s="288"/>
      <c r="B493" s="293"/>
      <c r="C493" s="390"/>
      <c r="D493" s="377"/>
      <c r="E493" s="391"/>
      <c r="F493" s="389"/>
      <c r="G493" s="258"/>
      <c r="H493" s="258"/>
      <c r="I493" s="279"/>
      <c r="J493" s="279"/>
    </row>
    <row r="494" s="270" customFormat="1" spans="1:10">
      <c r="A494" s="288"/>
      <c r="B494" s="293"/>
      <c r="C494" s="390"/>
      <c r="D494" s="377"/>
      <c r="E494" s="391"/>
      <c r="F494" s="389"/>
      <c r="G494" s="258"/>
      <c r="H494" s="258"/>
      <c r="I494" s="279"/>
      <c r="J494" s="279"/>
    </row>
    <row r="495" s="270" customFormat="1" spans="1:10">
      <c r="A495" s="288"/>
      <c r="B495" s="293"/>
      <c r="C495" s="390"/>
      <c r="D495" s="377"/>
      <c r="E495" s="391"/>
      <c r="F495" s="389"/>
      <c r="G495" s="258"/>
      <c r="H495" s="258"/>
      <c r="I495" s="279"/>
      <c r="J495" s="279"/>
    </row>
    <row r="496" s="270" customFormat="1" spans="1:10">
      <c r="A496" s="288"/>
      <c r="B496" s="293"/>
      <c r="C496" s="390"/>
      <c r="D496" s="377"/>
      <c r="E496" s="391"/>
      <c r="F496" s="389"/>
      <c r="G496" s="258"/>
      <c r="H496" s="258"/>
      <c r="I496" s="279"/>
      <c r="J496" s="279"/>
    </row>
    <row r="497" s="270" customFormat="1" spans="1:10">
      <c r="A497" s="288"/>
      <c r="B497" s="293"/>
      <c r="C497" s="390"/>
      <c r="D497" s="377"/>
      <c r="E497" s="20"/>
      <c r="F497" s="389"/>
      <c r="G497" s="148"/>
      <c r="H497" s="148"/>
      <c r="I497" s="279"/>
      <c r="J497" s="279"/>
    </row>
    <row r="498" s="270" customFormat="1" spans="1:10">
      <c r="A498" s="288"/>
      <c r="B498" s="293"/>
      <c r="C498" s="390"/>
      <c r="D498" s="377"/>
      <c r="E498" s="20"/>
      <c r="F498" s="389"/>
      <c r="G498" s="258"/>
      <c r="H498" s="258"/>
      <c r="I498" s="279"/>
      <c r="J498" s="279"/>
    </row>
    <row r="499" s="270" customFormat="1" spans="1:10">
      <c r="A499" s="288"/>
      <c r="B499" s="293"/>
      <c r="C499" s="390"/>
      <c r="D499" s="377"/>
      <c r="E499" s="391"/>
      <c r="F499" s="389"/>
      <c r="G499" s="258"/>
      <c r="H499" s="258"/>
      <c r="I499" s="279"/>
      <c r="J499" s="279"/>
    </row>
    <row r="500" s="270" customFormat="1" spans="1:10">
      <c r="A500" s="288"/>
      <c r="B500" s="293"/>
      <c r="C500" s="390"/>
      <c r="D500" s="377"/>
      <c r="E500" s="391"/>
      <c r="F500" s="389"/>
      <c r="G500" s="258"/>
      <c r="H500" s="258"/>
      <c r="I500" s="279"/>
      <c r="J500" s="279"/>
    </row>
    <row r="501" s="270" customFormat="1" spans="1:10">
      <c r="A501" s="288"/>
      <c r="B501" s="293"/>
      <c r="C501" s="390"/>
      <c r="D501" s="377"/>
      <c r="E501" s="391"/>
      <c r="F501" s="389"/>
      <c r="G501" s="258"/>
      <c r="H501" s="258"/>
      <c r="I501" s="279"/>
      <c r="J501" s="279"/>
    </row>
    <row r="502" s="270" customFormat="1" spans="1:10">
      <c r="A502" s="288"/>
      <c r="B502" s="293"/>
      <c r="C502" s="390"/>
      <c r="D502" s="377"/>
      <c r="E502" s="391"/>
      <c r="F502" s="389"/>
      <c r="G502" s="258"/>
      <c r="H502" s="258"/>
      <c r="I502" s="279"/>
      <c r="J502" s="279"/>
    </row>
    <row r="503" s="270" customFormat="1" spans="1:10">
      <c r="A503" s="288"/>
      <c r="B503" s="293"/>
      <c r="C503" s="390"/>
      <c r="D503" s="377"/>
      <c r="E503" s="391"/>
      <c r="F503" s="389"/>
      <c r="G503" s="258"/>
      <c r="H503" s="258"/>
      <c r="I503" s="279"/>
      <c r="J503" s="279"/>
    </row>
    <row r="504" s="270" customFormat="1" spans="1:10">
      <c r="A504" s="288"/>
      <c r="B504" s="293"/>
      <c r="C504" s="390"/>
      <c r="D504" s="377"/>
      <c r="E504" s="20"/>
      <c r="F504" s="389"/>
      <c r="G504" s="148"/>
      <c r="H504" s="148"/>
      <c r="I504" s="279"/>
      <c r="J504" s="279"/>
    </row>
    <row r="505" s="270" customFormat="1" spans="1:10">
      <c r="A505" s="288"/>
      <c r="B505" s="293"/>
      <c r="C505" s="390"/>
      <c r="D505" s="377"/>
      <c r="E505" s="20"/>
      <c r="F505" s="389"/>
      <c r="G505" s="258"/>
      <c r="H505" s="258"/>
      <c r="I505" s="279"/>
      <c r="J505" s="279"/>
    </row>
    <row r="506" s="270" customFormat="1" spans="1:10">
      <c r="A506" s="288"/>
      <c r="B506" s="293"/>
      <c r="C506" s="390"/>
      <c r="D506" s="377"/>
      <c r="E506" s="391"/>
      <c r="F506" s="389"/>
      <c r="G506" s="258"/>
      <c r="H506" s="258"/>
      <c r="I506" s="279"/>
      <c r="J506" s="279"/>
    </row>
    <row r="507" s="270" customFormat="1" spans="1:10">
      <c r="A507" s="288"/>
      <c r="B507" s="293"/>
      <c r="C507" s="390"/>
      <c r="D507" s="377"/>
      <c r="E507" s="391"/>
      <c r="F507" s="389"/>
      <c r="G507" s="258"/>
      <c r="H507" s="258"/>
      <c r="I507" s="279"/>
      <c r="J507" s="279"/>
    </row>
    <row r="508" s="270" customFormat="1" spans="1:10">
      <c r="A508" s="288"/>
      <c r="B508" s="293"/>
      <c r="C508" s="390"/>
      <c r="D508" s="377"/>
      <c r="E508" s="391"/>
      <c r="F508" s="389"/>
      <c r="G508" s="258"/>
      <c r="H508" s="258"/>
      <c r="I508" s="279"/>
      <c r="J508" s="279"/>
    </row>
    <row r="509" s="270" customFormat="1" spans="1:10">
      <c r="A509" s="288"/>
      <c r="B509" s="293"/>
      <c r="C509" s="390"/>
      <c r="D509" s="377"/>
      <c r="E509" s="20"/>
      <c r="F509" s="62"/>
      <c r="G509" s="148"/>
      <c r="H509" s="148"/>
      <c r="I509" s="279"/>
      <c r="J509" s="279"/>
    </row>
    <row r="510" s="270" customFormat="1" spans="1:10">
      <c r="A510" s="288"/>
      <c r="B510" s="293"/>
      <c r="C510" s="390"/>
      <c r="D510" s="377"/>
      <c r="E510" s="20"/>
      <c r="F510" s="62"/>
      <c r="G510" s="148"/>
      <c r="H510" s="148"/>
      <c r="I510" s="279"/>
      <c r="J510" s="279"/>
    </row>
    <row r="511" s="270" customFormat="1" spans="1:10">
      <c r="A511" s="288"/>
      <c r="B511" s="293"/>
      <c r="C511" s="390"/>
      <c r="D511" s="377"/>
      <c r="E511" s="21"/>
      <c r="F511" s="62"/>
      <c r="G511" s="148"/>
      <c r="H511" s="148"/>
      <c r="I511" s="279"/>
      <c r="J511" s="279"/>
    </row>
    <row r="512" s="270" customFormat="1" spans="1:10">
      <c r="A512" s="288"/>
      <c r="B512" s="293"/>
      <c r="C512" s="390"/>
      <c r="D512" s="377"/>
      <c r="E512" s="21"/>
      <c r="F512" s="62"/>
      <c r="G512" s="148"/>
      <c r="H512" s="148"/>
      <c r="I512" s="279"/>
      <c r="J512" s="279"/>
    </row>
    <row r="513" s="270" customFormat="1" spans="1:10">
      <c r="A513" s="288"/>
      <c r="B513" s="293"/>
      <c r="C513" s="390"/>
      <c r="D513" s="377"/>
      <c r="E513" s="21"/>
      <c r="F513" s="62"/>
      <c r="G513" s="148"/>
      <c r="H513" s="148"/>
      <c r="I513" s="279"/>
      <c r="J513" s="279"/>
    </row>
    <row r="514" s="270" customFormat="1" spans="1:10">
      <c r="A514" s="288"/>
      <c r="B514" s="293"/>
      <c r="C514" s="390"/>
      <c r="D514" s="377"/>
      <c r="E514" s="21"/>
      <c r="F514" s="62"/>
      <c r="G514" s="148"/>
      <c r="H514" s="148"/>
      <c r="I514" s="279"/>
      <c r="J514" s="279"/>
    </row>
    <row r="515" s="270" customFormat="1" spans="1:10">
      <c r="A515" s="288"/>
      <c r="B515" s="293"/>
      <c r="C515" s="390"/>
      <c r="D515" s="377"/>
      <c r="E515" s="20"/>
      <c r="F515" s="62"/>
      <c r="G515" s="148"/>
      <c r="H515" s="148"/>
      <c r="I515" s="279"/>
      <c r="J515" s="279"/>
    </row>
    <row r="516" s="270" customFormat="1" spans="1:10">
      <c r="A516" s="288"/>
      <c r="B516" s="293"/>
      <c r="C516" s="390"/>
      <c r="D516" s="377"/>
      <c r="E516" s="20"/>
      <c r="F516" s="62"/>
      <c r="G516" s="148"/>
      <c r="H516" s="148"/>
      <c r="I516" s="279"/>
      <c r="J516" s="279"/>
    </row>
    <row r="517" s="270" customFormat="1" spans="1:10">
      <c r="A517" s="288"/>
      <c r="B517" s="293"/>
      <c r="C517" s="390"/>
      <c r="D517" s="377"/>
      <c r="E517" s="20"/>
      <c r="F517" s="62"/>
      <c r="G517" s="148"/>
      <c r="H517" s="148"/>
      <c r="I517" s="279"/>
      <c r="J517" s="279"/>
    </row>
    <row r="518" s="270" customFormat="1" spans="1:10">
      <c r="A518" s="288"/>
      <c r="B518" s="293"/>
      <c r="C518" s="390"/>
      <c r="D518" s="377"/>
      <c r="E518" s="20"/>
      <c r="F518" s="62"/>
      <c r="G518" s="148"/>
      <c r="H518" s="148"/>
      <c r="I518" s="279"/>
      <c r="J518" s="279"/>
    </row>
    <row r="519" s="270" customFormat="1" spans="1:10">
      <c r="A519" s="288"/>
      <c r="B519" s="293"/>
      <c r="C519" s="390"/>
      <c r="D519" s="377"/>
      <c r="E519" s="20"/>
      <c r="F519" s="62"/>
      <c r="G519" s="148"/>
      <c r="H519" s="148"/>
      <c r="I519" s="279"/>
      <c r="J519" s="279"/>
    </row>
    <row r="520" s="270" customFormat="1" spans="1:10">
      <c r="A520" s="288"/>
      <c r="B520" s="293"/>
      <c r="C520" s="390"/>
      <c r="D520" s="377"/>
      <c r="E520" s="20"/>
      <c r="F520" s="62"/>
      <c r="G520" s="148"/>
      <c r="H520" s="148"/>
      <c r="I520" s="279"/>
      <c r="J520" s="279"/>
    </row>
    <row r="521" s="270" customFormat="1" spans="1:10">
      <c r="A521" s="288"/>
      <c r="B521" s="293"/>
      <c r="C521" s="390"/>
      <c r="D521" s="377"/>
      <c r="E521" s="21"/>
      <c r="F521" s="62"/>
      <c r="G521" s="148"/>
      <c r="H521" s="148"/>
      <c r="I521" s="279"/>
      <c r="J521" s="279"/>
    </row>
    <row r="522" s="270" customFormat="1" spans="1:10">
      <c r="A522" s="288"/>
      <c r="B522" s="293"/>
      <c r="C522" s="390"/>
      <c r="D522" s="377"/>
      <c r="E522" s="21"/>
      <c r="F522" s="62"/>
      <c r="G522" s="148"/>
      <c r="H522" s="148"/>
      <c r="I522" s="279"/>
      <c r="J522" s="279"/>
    </row>
    <row r="523" s="270" customFormat="1" spans="1:10">
      <c r="A523" s="288"/>
      <c r="B523" s="293"/>
      <c r="C523" s="390"/>
      <c r="D523" s="377"/>
      <c r="E523" s="21"/>
      <c r="F523" s="62"/>
      <c r="G523" s="148"/>
      <c r="H523" s="148"/>
      <c r="I523" s="279"/>
      <c r="J523" s="279"/>
    </row>
    <row r="524" s="270" customFormat="1" spans="1:10">
      <c r="A524" s="288"/>
      <c r="B524" s="293"/>
      <c r="C524" s="390"/>
      <c r="D524" s="377"/>
      <c r="E524" s="20"/>
      <c r="F524" s="62"/>
      <c r="G524" s="148"/>
      <c r="H524" s="148"/>
      <c r="I524" s="279"/>
      <c r="J524" s="279"/>
    </row>
    <row r="525" s="270" customFormat="1" spans="1:10">
      <c r="A525" s="288"/>
      <c r="B525" s="293"/>
      <c r="C525" s="390"/>
      <c r="D525" s="377"/>
      <c r="E525" s="20"/>
      <c r="F525" s="62"/>
      <c r="G525" s="148"/>
      <c r="H525" s="148"/>
      <c r="I525" s="279"/>
      <c r="J525" s="279"/>
    </row>
    <row r="526" s="270" customFormat="1" spans="1:10">
      <c r="A526" s="288"/>
      <c r="B526" s="293"/>
      <c r="C526" s="390"/>
      <c r="D526" s="377"/>
      <c r="E526" s="20"/>
      <c r="F526" s="62"/>
      <c r="G526" s="148"/>
      <c r="H526" s="148"/>
      <c r="I526" s="279"/>
      <c r="J526" s="279"/>
    </row>
    <row r="527" s="270" customFormat="1" spans="1:10">
      <c r="A527" s="288"/>
      <c r="B527" s="293"/>
      <c r="C527" s="390"/>
      <c r="D527" s="377"/>
      <c r="E527" s="20"/>
      <c r="F527" s="62"/>
      <c r="G527" s="148"/>
      <c r="H527" s="148"/>
      <c r="I527" s="279"/>
      <c r="J527" s="279"/>
    </row>
    <row r="528" s="270" customFormat="1" spans="1:10">
      <c r="A528" s="288"/>
      <c r="B528" s="293"/>
      <c r="C528" s="390"/>
      <c r="D528" s="377"/>
      <c r="E528" s="20"/>
      <c r="F528" s="62"/>
      <c r="G528" s="148"/>
      <c r="H528" s="148"/>
      <c r="I528" s="279"/>
      <c r="J528" s="279"/>
    </row>
    <row r="529" s="270" customFormat="1" spans="1:10">
      <c r="A529" s="288"/>
      <c r="B529" s="293"/>
      <c r="C529" s="390"/>
      <c r="D529" s="377"/>
      <c r="E529" s="20"/>
      <c r="F529" s="62"/>
      <c r="G529" s="148"/>
      <c r="H529" s="148"/>
      <c r="I529" s="279"/>
      <c r="J529" s="279"/>
    </row>
    <row r="530" s="270" customFormat="1" spans="1:10">
      <c r="A530" s="288"/>
      <c r="B530" s="293"/>
      <c r="C530" s="390"/>
      <c r="D530" s="377"/>
      <c r="E530" s="20"/>
      <c r="F530" s="62"/>
      <c r="G530" s="148"/>
      <c r="H530" s="148"/>
      <c r="I530" s="279"/>
      <c r="J530" s="279"/>
    </row>
    <row r="531" s="270" customFormat="1" spans="1:10">
      <c r="A531" s="288"/>
      <c r="B531" s="293"/>
      <c r="C531" s="390"/>
      <c r="D531" s="377"/>
      <c r="E531" s="20"/>
      <c r="F531" s="62"/>
      <c r="G531" s="148"/>
      <c r="H531" s="148"/>
      <c r="I531" s="279"/>
      <c r="J531" s="279"/>
    </row>
    <row r="532" s="270" customFormat="1" spans="1:10">
      <c r="A532" s="288"/>
      <c r="B532" s="293"/>
      <c r="C532" s="390"/>
      <c r="D532" s="377"/>
      <c r="E532" s="20"/>
      <c r="F532" s="62"/>
      <c r="G532" s="148"/>
      <c r="H532" s="148"/>
      <c r="I532" s="279"/>
      <c r="J532" s="279"/>
    </row>
    <row r="533" s="270" customFormat="1" spans="1:10">
      <c r="A533" s="288"/>
      <c r="B533" s="293"/>
      <c r="C533" s="61"/>
      <c r="D533" s="377"/>
      <c r="E533" s="20"/>
      <c r="F533" s="62"/>
      <c r="G533" s="148"/>
      <c r="H533" s="148"/>
      <c r="I533" s="279"/>
      <c r="J533" s="279"/>
    </row>
    <row r="534" s="270" customFormat="1" spans="1:10">
      <c r="A534" s="288"/>
      <c r="B534" s="293"/>
      <c r="C534" s="61"/>
      <c r="D534" s="377"/>
      <c r="E534" s="20"/>
      <c r="F534" s="62"/>
      <c r="G534" s="148"/>
      <c r="H534" s="148"/>
      <c r="I534" s="279"/>
      <c r="J534" s="279"/>
    </row>
    <row r="535" s="270" customFormat="1" spans="1:10">
      <c r="A535" s="288"/>
      <c r="B535" s="293"/>
      <c r="C535" s="390"/>
      <c r="D535" s="377"/>
      <c r="E535" s="20"/>
      <c r="F535" s="62"/>
      <c r="G535" s="148"/>
      <c r="H535" s="148"/>
      <c r="I535" s="279"/>
      <c r="J535" s="279"/>
    </row>
    <row r="536" s="270" customFormat="1" spans="1:10">
      <c r="A536" s="288"/>
      <c r="B536" s="293"/>
      <c r="C536" s="390"/>
      <c r="D536" s="377"/>
      <c r="E536" s="20"/>
      <c r="F536" s="62"/>
      <c r="G536" s="148"/>
      <c r="H536" s="148"/>
      <c r="I536" s="279"/>
      <c r="J536" s="279"/>
    </row>
    <row r="537" s="270" customFormat="1" spans="1:10">
      <c r="A537" s="288"/>
      <c r="B537" s="293"/>
      <c r="C537" s="390"/>
      <c r="D537" s="377"/>
      <c r="E537" s="29"/>
      <c r="F537" s="235"/>
      <c r="G537" s="148"/>
      <c r="H537" s="148"/>
      <c r="I537" s="279"/>
      <c r="J537" s="279"/>
    </row>
    <row r="538" s="270" customFormat="1" spans="1:10">
      <c r="A538" s="288"/>
      <c r="B538" s="293"/>
      <c r="C538" s="390"/>
      <c r="D538" s="377"/>
      <c r="E538" s="29"/>
      <c r="F538" s="235"/>
      <c r="G538" s="148"/>
      <c r="H538" s="148"/>
      <c r="I538" s="279"/>
      <c r="J538" s="279"/>
    </row>
    <row r="539" s="270" customFormat="1" spans="1:10">
      <c r="A539" s="288"/>
      <c r="B539" s="293"/>
      <c r="C539" s="390"/>
      <c r="D539" s="377"/>
      <c r="E539" s="29"/>
      <c r="F539" s="235"/>
      <c r="G539" s="148"/>
      <c r="H539" s="148"/>
      <c r="I539" s="279"/>
      <c r="J539" s="279"/>
    </row>
    <row r="540" s="270" customFormat="1" spans="1:10">
      <c r="A540" s="288"/>
      <c r="B540" s="293"/>
      <c r="C540" s="390"/>
      <c r="D540" s="377"/>
      <c r="E540" s="29"/>
      <c r="F540" s="235"/>
      <c r="G540" s="148"/>
      <c r="H540" s="148"/>
      <c r="I540" s="279"/>
      <c r="J540" s="279"/>
    </row>
    <row r="541" s="270" customFormat="1" spans="1:10">
      <c r="A541" s="288"/>
      <c r="B541" s="293"/>
      <c r="C541" s="390"/>
      <c r="D541" s="377"/>
      <c r="E541" s="21"/>
      <c r="F541" s="235"/>
      <c r="G541" s="148"/>
      <c r="H541" s="148"/>
      <c r="I541" s="279"/>
      <c r="J541" s="279"/>
    </row>
    <row r="542" s="270" customFormat="1" spans="1:10">
      <c r="A542" s="288"/>
      <c r="B542" s="293"/>
      <c r="C542" s="390"/>
      <c r="D542" s="377"/>
      <c r="E542" s="29"/>
      <c r="F542" s="235"/>
      <c r="G542" s="148"/>
      <c r="H542" s="148"/>
      <c r="I542" s="279"/>
      <c r="J542" s="279"/>
    </row>
    <row r="543" s="270" customFormat="1" spans="1:10">
      <c r="A543" s="288"/>
      <c r="B543" s="293"/>
      <c r="C543" s="390"/>
      <c r="D543" s="377"/>
      <c r="E543" s="29"/>
      <c r="F543" s="235"/>
      <c r="G543" s="148"/>
      <c r="H543" s="148"/>
      <c r="I543" s="279"/>
      <c r="J543" s="279"/>
    </row>
    <row r="544" s="270" customFormat="1" spans="1:10">
      <c r="A544" s="288"/>
      <c r="B544" s="293"/>
      <c r="C544" s="390"/>
      <c r="D544" s="377"/>
      <c r="E544" s="29"/>
      <c r="F544" s="235"/>
      <c r="G544" s="148"/>
      <c r="H544" s="148"/>
      <c r="I544" s="279"/>
      <c r="J544" s="279"/>
    </row>
    <row r="545" s="270" customFormat="1" spans="1:10">
      <c r="A545" s="288"/>
      <c r="B545" s="293"/>
      <c r="C545" s="390"/>
      <c r="D545" s="377"/>
      <c r="E545" s="29"/>
      <c r="F545" s="235"/>
      <c r="G545" s="148"/>
      <c r="H545" s="148"/>
      <c r="I545" s="279"/>
      <c r="J545" s="279"/>
    </row>
    <row r="546" s="270" customFormat="1" spans="1:10">
      <c r="A546" s="288"/>
      <c r="B546" s="293"/>
      <c r="C546" s="390"/>
      <c r="D546" s="377"/>
      <c r="E546" s="29"/>
      <c r="F546" s="235"/>
      <c r="G546" s="148"/>
      <c r="H546" s="148"/>
      <c r="I546" s="279"/>
      <c r="J546" s="279"/>
    </row>
    <row r="547" s="270" customFormat="1" spans="1:10">
      <c r="A547" s="288"/>
      <c r="B547" s="293"/>
      <c r="C547" s="390"/>
      <c r="D547" s="377"/>
      <c r="E547" s="20"/>
      <c r="F547" s="62"/>
      <c r="G547" s="148"/>
      <c r="H547" s="148"/>
      <c r="I547" s="279"/>
      <c r="J547" s="279"/>
    </row>
    <row r="548" s="270" customFormat="1" spans="1:10">
      <c r="A548" s="288"/>
      <c r="B548" s="293"/>
      <c r="C548" s="390"/>
      <c r="D548" s="377"/>
      <c r="E548" s="20"/>
      <c r="F548" s="62"/>
      <c r="G548" s="148"/>
      <c r="H548" s="148"/>
      <c r="I548" s="279"/>
      <c r="J548" s="279"/>
    </row>
    <row r="549" s="270" customFormat="1" spans="1:10">
      <c r="A549" s="288"/>
      <c r="B549" s="293"/>
      <c r="C549" s="390"/>
      <c r="D549" s="377"/>
      <c r="E549" s="386"/>
      <c r="F549" s="62"/>
      <c r="G549" s="148"/>
      <c r="H549" s="148"/>
      <c r="I549" s="279"/>
      <c r="J549" s="279"/>
    </row>
    <row r="550" s="270" customFormat="1" spans="1:10">
      <c r="A550" s="288"/>
      <c r="B550" s="293"/>
      <c r="C550" s="390"/>
      <c r="D550" s="377"/>
      <c r="E550" s="20"/>
      <c r="F550" s="62"/>
      <c r="G550" s="148"/>
      <c r="H550" s="148"/>
      <c r="I550" s="279"/>
      <c r="J550" s="279"/>
    </row>
    <row r="551" s="270" customFormat="1" spans="1:10">
      <c r="A551" s="288"/>
      <c r="B551" s="293"/>
      <c r="C551" s="390"/>
      <c r="D551" s="377"/>
      <c r="E551" s="20"/>
      <c r="F551" s="62"/>
      <c r="G551" s="148"/>
      <c r="H551" s="148"/>
      <c r="I551" s="279"/>
      <c r="J551" s="279"/>
    </row>
    <row r="552" s="270" customFormat="1" spans="1:10">
      <c r="A552" s="288"/>
      <c r="B552" s="293"/>
      <c r="C552" s="390"/>
      <c r="D552" s="377"/>
      <c r="E552" s="20"/>
      <c r="F552" s="62"/>
      <c r="G552" s="148"/>
      <c r="H552" s="148"/>
      <c r="I552" s="279"/>
      <c r="J552" s="279"/>
    </row>
    <row r="553" s="270" customFormat="1" spans="1:10">
      <c r="A553" s="288"/>
      <c r="B553" s="293"/>
      <c r="C553" s="390"/>
      <c r="D553" s="377"/>
      <c r="E553" s="20"/>
      <c r="F553" s="62"/>
      <c r="G553" s="148"/>
      <c r="H553" s="148"/>
      <c r="I553" s="279"/>
      <c r="J553" s="279"/>
    </row>
    <row r="554" s="270" customFormat="1" spans="1:10">
      <c r="A554" s="288"/>
      <c r="B554" s="293"/>
      <c r="C554" s="390"/>
      <c r="D554" s="377"/>
      <c r="E554" s="29"/>
      <c r="F554" s="62"/>
      <c r="G554" s="148"/>
      <c r="H554" s="148"/>
      <c r="I554" s="279"/>
      <c r="J554" s="279"/>
    </row>
    <row r="555" s="270" customFormat="1" spans="1:10">
      <c r="A555" s="288"/>
      <c r="B555" s="293"/>
      <c r="C555" s="390"/>
      <c r="D555" s="377"/>
      <c r="E555" s="391"/>
      <c r="F555" s="62"/>
      <c r="G555" s="148"/>
      <c r="H555" s="148"/>
      <c r="I555" s="279"/>
      <c r="J555" s="279"/>
    </row>
    <row r="556" s="270" customFormat="1" spans="1:10">
      <c r="A556" s="288"/>
      <c r="B556" s="293"/>
      <c r="C556" s="390"/>
      <c r="D556" s="377"/>
      <c r="E556" s="391"/>
      <c r="F556" s="62"/>
      <c r="G556" s="148"/>
      <c r="H556" s="148"/>
      <c r="I556" s="279"/>
      <c r="J556" s="279"/>
    </row>
    <row r="557" s="270" customFormat="1" spans="1:10">
      <c r="A557" s="288"/>
      <c r="B557" s="293"/>
      <c r="C557" s="390"/>
      <c r="D557" s="377"/>
      <c r="E557" s="20"/>
      <c r="F557" s="62"/>
      <c r="G557" s="148"/>
      <c r="H557" s="148"/>
      <c r="I557" s="279"/>
      <c r="J557" s="279"/>
    </row>
    <row r="558" s="270" customFormat="1" spans="1:10">
      <c r="A558" s="288"/>
      <c r="B558" s="293"/>
      <c r="C558" s="390"/>
      <c r="D558" s="377"/>
      <c r="E558" s="20"/>
      <c r="F558" s="62"/>
      <c r="G558" s="148"/>
      <c r="H558" s="148"/>
      <c r="I558" s="279"/>
      <c r="J558" s="279"/>
    </row>
    <row r="559" s="270" customFormat="1" spans="1:10">
      <c r="A559" s="288"/>
      <c r="B559" s="293"/>
      <c r="C559" s="390"/>
      <c r="D559" s="377"/>
      <c r="E559" s="20"/>
      <c r="F559" s="62"/>
      <c r="G559" s="148"/>
      <c r="H559" s="148"/>
      <c r="I559" s="279"/>
      <c r="J559" s="279"/>
    </row>
    <row r="560" s="270" customFormat="1" spans="1:10">
      <c r="A560" s="288"/>
      <c r="B560" s="293"/>
      <c r="C560" s="390"/>
      <c r="D560" s="377"/>
      <c r="E560" s="386"/>
      <c r="F560" s="62"/>
      <c r="G560" s="148"/>
      <c r="H560" s="148"/>
      <c r="I560" s="279"/>
      <c r="J560" s="279"/>
    </row>
    <row r="561" s="270" customFormat="1" spans="1:10">
      <c r="A561" s="288"/>
      <c r="B561" s="293"/>
      <c r="C561" s="390"/>
      <c r="D561" s="377"/>
      <c r="E561" s="386"/>
      <c r="F561" s="62"/>
      <c r="G561" s="148"/>
      <c r="H561" s="148"/>
      <c r="I561" s="279"/>
      <c r="J561" s="279"/>
    </row>
    <row r="562" s="270" customFormat="1" spans="1:10">
      <c r="A562" s="288"/>
      <c r="B562" s="293"/>
      <c r="C562" s="390"/>
      <c r="D562" s="377"/>
      <c r="E562" s="386"/>
      <c r="F562" s="62"/>
      <c r="G562" s="148"/>
      <c r="H562" s="148"/>
      <c r="I562" s="279"/>
      <c r="J562" s="279"/>
    </row>
    <row r="563" s="270" customFormat="1" spans="1:10">
      <c r="A563" s="288"/>
      <c r="B563" s="293"/>
      <c r="C563" s="390"/>
      <c r="D563" s="377"/>
      <c r="E563" s="20"/>
      <c r="F563" s="62"/>
      <c r="G563" s="148"/>
      <c r="H563" s="148"/>
      <c r="I563" s="279"/>
      <c r="J563" s="279"/>
    </row>
    <row r="564" s="270" customFormat="1" spans="1:10">
      <c r="A564" s="288"/>
      <c r="B564" s="293"/>
      <c r="C564" s="390"/>
      <c r="D564" s="377"/>
      <c r="E564" s="20"/>
      <c r="F564" s="62"/>
      <c r="G564" s="148"/>
      <c r="H564" s="148"/>
      <c r="I564" s="279"/>
      <c r="J564" s="279"/>
    </row>
    <row r="565" s="270" customFormat="1" spans="1:10">
      <c r="A565" s="288"/>
      <c r="B565" s="293"/>
      <c r="C565" s="390"/>
      <c r="D565" s="377"/>
      <c r="E565" s="29"/>
      <c r="F565" s="235"/>
      <c r="G565" s="148"/>
      <c r="H565" s="148"/>
      <c r="I565" s="279"/>
      <c r="J565" s="279"/>
    </row>
    <row r="566" s="270" customFormat="1" spans="1:10">
      <c r="A566" s="288"/>
      <c r="B566" s="293"/>
      <c r="C566" s="390"/>
      <c r="D566" s="377"/>
      <c r="E566" s="29"/>
      <c r="F566" s="235"/>
      <c r="G566" s="148"/>
      <c r="H566" s="148"/>
      <c r="I566" s="279"/>
      <c r="J566" s="279"/>
    </row>
    <row r="567" s="270" customFormat="1" spans="1:10">
      <c r="A567" s="288"/>
      <c r="B567" s="293"/>
      <c r="C567" s="390"/>
      <c r="D567" s="377"/>
      <c r="E567" s="29"/>
      <c r="F567" s="235"/>
      <c r="G567" s="148"/>
      <c r="H567" s="148"/>
      <c r="I567" s="279"/>
      <c r="J567" s="279"/>
    </row>
    <row r="568" s="270" customFormat="1" spans="1:10">
      <c r="A568" s="288"/>
      <c r="B568" s="293"/>
      <c r="C568" s="390"/>
      <c r="D568" s="377"/>
      <c r="E568" s="29"/>
      <c r="F568" s="235"/>
      <c r="G568" s="148"/>
      <c r="H568" s="148"/>
      <c r="I568" s="279"/>
      <c r="J568" s="279"/>
    </row>
    <row r="569" s="270" customFormat="1" spans="1:10">
      <c r="A569" s="288"/>
      <c r="B569" s="293"/>
      <c r="C569" s="390"/>
      <c r="D569" s="377"/>
      <c r="E569" s="391"/>
      <c r="F569" s="235"/>
      <c r="G569" s="258"/>
      <c r="H569" s="258"/>
      <c r="I569" s="279"/>
      <c r="J569" s="279"/>
    </row>
    <row r="570" s="270" customFormat="1" spans="1:10">
      <c r="A570" s="288"/>
      <c r="B570" s="293"/>
      <c r="C570" s="390"/>
      <c r="D570" s="377"/>
      <c r="E570" s="29"/>
      <c r="F570" s="235"/>
      <c r="G570" s="148"/>
      <c r="H570" s="148"/>
      <c r="I570" s="279"/>
      <c r="J570" s="279"/>
    </row>
    <row r="571" s="270" customFormat="1" spans="1:10">
      <c r="A571" s="288"/>
      <c r="B571" s="293"/>
      <c r="C571" s="390"/>
      <c r="D571" s="377"/>
      <c r="E571" s="29"/>
      <c r="F571" s="235"/>
      <c r="G571" s="148"/>
      <c r="H571" s="148"/>
      <c r="I571" s="279"/>
      <c r="J571" s="279"/>
    </row>
    <row r="572" s="270" customFormat="1" spans="1:10">
      <c r="A572" s="288"/>
      <c r="B572" s="293"/>
      <c r="C572" s="390"/>
      <c r="D572" s="377"/>
      <c r="E572" s="29"/>
      <c r="F572" s="389"/>
      <c r="G572" s="148"/>
      <c r="H572" s="148"/>
      <c r="I572" s="279"/>
      <c r="J572" s="279"/>
    </row>
    <row r="573" s="270" customFormat="1" spans="1:10">
      <c r="A573" s="288"/>
      <c r="B573" s="293"/>
      <c r="C573" s="390"/>
      <c r="D573" s="377"/>
      <c r="E573" s="29"/>
      <c r="F573" s="389"/>
      <c r="G573" s="148"/>
      <c r="H573" s="148"/>
      <c r="I573" s="279"/>
      <c r="J573" s="279"/>
    </row>
    <row r="574" s="270" customFormat="1" spans="1:10">
      <c r="A574" s="288"/>
      <c r="B574" s="293"/>
      <c r="C574" s="390"/>
      <c r="D574" s="377"/>
      <c r="E574" s="29"/>
      <c r="F574" s="389"/>
      <c r="G574" s="258"/>
      <c r="H574" s="258"/>
      <c r="I574" s="279"/>
      <c r="J574" s="279"/>
    </row>
    <row r="575" s="270" customFormat="1" spans="1:10">
      <c r="A575" s="288"/>
      <c r="B575" s="293"/>
      <c r="C575" s="390"/>
      <c r="D575" s="377"/>
      <c r="E575" s="29"/>
      <c r="F575" s="389"/>
      <c r="G575" s="258"/>
      <c r="H575" s="258"/>
      <c r="I575" s="279"/>
      <c r="J575" s="279"/>
    </row>
    <row r="576" s="270" customFormat="1" spans="1:10">
      <c r="A576" s="288"/>
      <c r="B576" s="293"/>
      <c r="C576" s="390"/>
      <c r="D576" s="377"/>
      <c r="E576" s="29"/>
      <c r="F576" s="389"/>
      <c r="G576" s="258"/>
      <c r="H576" s="258"/>
      <c r="I576" s="279"/>
      <c r="J576" s="279"/>
    </row>
    <row r="577" s="270" customFormat="1" spans="1:10">
      <c r="A577" s="288"/>
      <c r="B577" s="293"/>
      <c r="C577" s="390"/>
      <c r="D577" s="377"/>
      <c r="E577" s="391"/>
      <c r="F577" s="389"/>
      <c r="G577" s="258"/>
      <c r="H577" s="258"/>
      <c r="I577" s="279"/>
      <c r="J577" s="279"/>
    </row>
    <row r="578" s="270" customFormat="1" spans="1:10">
      <c r="A578" s="288"/>
      <c r="B578" s="293"/>
      <c r="C578" s="390"/>
      <c r="D578" s="377"/>
      <c r="E578" s="391"/>
      <c r="F578" s="389"/>
      <c r="G578" s="258"/>
      <c r="H578" s="258"/>
      <c r="I578" s="279"/>
      <c r="J578" s="279"/>
    </row>
    <row r="579" s="270" customFormat="1" spans="1:10">
      <c r="A579" s="288"/>
      <c r="B579" s="293"/>
      <c r="C579" s="390"/>
      <c r="D579" s="377"/>
      <c r="E579" s="391"/>
      <c r="F579" s="389"/>
      <c r="G579" s="258"/>
      <c r="H579" s="258"/>
      <c r="I579" s="279"/>
      <c r="J579" s="279"/>
    </row>
    <row r="580" s="270" customFormat="1" spans="1:10">
      <c r="A580" s="288"/>
      <c r="B580" s="293"/>
      <c r="C580" s="390"/>
      <c r="D580" s="377"/>
      <c r="E580" s="391"/>
      <c r="F580" s="389"/>
      <c r="G580" s="258"/>
      <c r="H580" s="258"/>
      <c r="I580" s="279"/>
      <c r="J580" s="279"/>
    </row>
    <row r="581" s="270" customFormat="1" spans="1:10">
      <c r="A581" s="288"/>
      <c r="B581" s="293"/>
      <c r="C581" s="390"/>
      <c r="D581" s="377"/>
      <c r="E581" s="29"/>
      <c r="F581" s="389"/>
      <c r="G581" s="148"/>
      <c r="H581" s="148"/>
      <c r="I581" s="279"/>
      <c r="J581" s="279"/>
    </row>
    <row r="582" s="270" customFormat="1" spans="1:10">
      <c r="A582" s="288"/>
      <c r="B582" s="293"/>
      <c r="C582" s="390"/>
      <c r="D582" s="377"/>
      <c r="E582" s="29"/>
      <c r="F582" s="389"/>
      <c r="G582" s="258"/>
      <c r="H582" s="258"/>
      <c r="I582" s="279"/>
      <c r="J582" s="279"/>
    </row>
    <row r="583" s="270" customFormat="1" spans="1:10">
      <c r="A583" s="288"/>
      <c r="B583" s="293"/>
      <c r="C583" s="390"/>
      <c r="D583" s="377"/>
      <c r="E583" s="29"/>
      <c r="F583" s="389"/>
      <c r="G583" s="258"/>
      <c r="H583" s="258"/>
      <c r="I583" s="279"/>
      <c r="J583" s="279"/>
    </row>
    <row r="584" s="270" customFormat="1" spans="1:10">
      <c r="A584" s="288"/>
      <c r="B584" s="293"/>
      <c r="C584" s="390"/>
      <c r="D584" s="377"/>
      <c r="E584" s="391"/>
      <c r="F584" s="389"/>
      <c r="G584" s="258"/>
      <c r="H584" s="258"/>
      <c r="I584" s="279"/>
      <c r="J584" s="279"/>
    </row>
    <row r="585" s="270" customFormat="1" spans="1:10">
      <c r="A585" s="288"/>
      <c r="B585" s="293"/>
      <c r="C585" s="390"/>
      <c r="D585" s="377"/>
      <c r="E585" s="391"/>
      <c r="F585" s="389"/>
      <c r="G585" s="258"/>
      <c r="H585" s="258"/>
      <c r="I585" s="279"/>
      <c r="J585" s="279"/>
    </row>
    <row r="586" s="270" customFormat="1" spans="1:10">
      <c r="A586" s="288"/>
      <c r="B586" s="293"/>
      <c r="C586" s="390"/>
      <c r="D586" s="377"/>
      <c r="E586" s="391"/>
      <c r="F586" s="389"/>
      <c r="G586" s="258"/>
      <c r="H586" s="258"/>
      <c r="I586" s="279"/>
      <c r="J586" s="279"/>
    </row>
    <row r="587" s="270" customFormat="1" spans="1:10">
      <c r="A587" s="288"/>
      <c r="B587" s="293"/>
      <c r="C587" s="390"/>
      <c r="D587" s="377"/>
      <c r="E587" s="29"/>
      <c r="F587" s="389"/>
      <c r="G587" s="258"/>
      <c r="H587" s="258"/>
      <c r="I587" s="279"/>
      <c r="J587" s="279"/>
    </row>
    <row r="588" s="270" customFormat="1" spans="1:10">
      <c r="A588" s="288"/>
      <c r="B588" s="293"/>
      <c r="C588" s="390"/>
      <c r="D588" s="377"/>
      <c r="E588" s="29"/>
      <c r="F588" s="389"/>
      <c r="G588" s="258"/>
      <c r="H588" s="258"/>
      <c r="I588" s="279"/>
      <c r="J588" s="279"/>
    </row>
    <row r="589" s="270" customFormat="1" spans="1:10">
      <c r="A589" s="288"/>
      <c r="B589" s="119"/>
      <c r="C589" s="394"/>
      <c r="D589" s="377"/>
      <c r="E589" s="393"/>
      <c r="F589" s="389"/>
      <c r="G589" s="395"/>
      <c r="H589" s="395"/>
      <c r="I589" s="279"/>
      <c r="J589" s="279"/>
    </row>
    <row r="590" s="270" customFormat="1" spans="1:10">
      <c r="A590" s="288"/>
      <c r="B590" s="293"/>
      <c r="C590" s="390"/>
      <c r="D590" s="377"/>
      <c r="E590" s="20"/>
      <c r="F590" s="62"/>
      <c r="G590" s="258"/>
      <c r="H590" s="258"/>
      <c r="I590" s="279"/>
      <c r="J590" s="279"/>
    </row>
    <row r="591" s="270" customFormat="1" spans="1:10">
      <c r="A591" s="288"/>
      <c r="B591" s="293"/>
      <c r="C591" s="390"/>
      <c r="D591" s="377"/>
      <c r="E591" s="20"/>
      <c r="F591" s="62"/>
      <c r="G591" s="258"/>
      <c r="H591" s="258"/>
      <c r="I591" s="279"/>
      <c r="J591" s="279"/>
    </row>
    <row r="592" s="270" customFormat="1" spans="1:10">
      <c r="A592" s="288"/>
      <c r="B592" s="293"/>
      <c r="C592" s="390"/>
      <c r="D592" s="377"/>
      <c r="E592" s="391"/>
      <c r="F592" s="62"/>
      <c r="G592" s="258"/>
      <c r="H592" s="258"/>
      <c r="I592" s="279"/>
      <c r="J592" s="279"/>
    </row>
    <row r="593" s="270" customFormat="1" spans="1:10">
      <c r="A593" s="288"/>
      <c r="B593" s="293"/>
      <c r="C593" s="390"/>
      <c r="D593" s="377"/>
      <c r="E593" s="391"/>
      <c r="F593" s="62"/>
      <c r="G593" s="258"/>
      <c r="H593" s="258"/>
      <c r="I593" s="279"/>
      <c r="J593" s="279"/>
    </row>
    <row r="594" s="270" customFormat="1" spans="1:10">
      <c r="A594" s="288"/>
      <c r="B594" s="293"/>
      <c r="C594" s="390"/>
      <c r="D594" s="377"/>
      <c r="E594" s="391"/>
      <c r="F594" s="62"/>
      <c r="G594" s="258"/>
      <c r="H594" s="258"/>
      <c r="I594" s="279"/>
      <c r="J594" s="279"/>
    </row>
    <row r="595" s="270" customFormat="1" spans="1:10">
      <c r="A595" s="288"/>
      <c r="B595" s="293"/>
      <c r="C595" s="390"/>
      <c r="D595" s="377"/>
      <c r="E595" s="20"/>
      <c r="F595" s="62"/>
      <c r="G595" s="148"/>
      <c r="H595" s="148"/>
      <c r="I595" s="279"/>
      <c r="J595" s="279"/>
    </row>
    <row r="596" s="270" customFormat="1" spans="1:10">
      <c r="A596" s="288"/>
      <c r="B596" s="293"/>
      <c r="C596" s="390"/>
      <c r="D596" s="377"/>
      <c r="E596" s="20"/>
      <c r="F596" s="62"/>
      <c r="G596" s="258"/>
      <c r="H596" s="258"/>
      <c r="I596" s="279"/>
      <c r="J596" s="279"/>
    </row>
    <row r="597" s="270" customFormat="1" spans="1:10">
      <c r="A597" s="288"/>
      <c r="B597" s="293"/>
      <c r="C597" s="390"/>
      <c r="D597" s="377"/>
      <c r="E597" s="391"/>
      <c r="F597" s="62"/>
      <c r="G597" s="258"/>
      <c r="H597" s="258"/>
      <c r="I597" s="279"/>
      <c r="J597" s="279"/>
    </row>
    <row r="598" s="270" customFormat="1" spans="1:10">
      <c r="A598" s="288"/>
      <c r="B598" s="293"/>
      <c r="C598" s="390"/>
      <c r="D598" s="377"/>
      <c r="E598" s="391"/>
      <c r="F598" s="62"/>
      <c r="G598" s="148"/>
      <c r="H598" s="148"/>
      <c r="I598" s="279"/>
      <c r="J598" s="279"/>
    </row>
    <row r="599" s="270" customFormat="1" spans="1:10">
      <c r="A599" s="288"/>
      <c r="B599" s="293"/>
      <c r="C599" s="390"/>
      <c r="D599" s="377"/>
      <c r="E599" s="391"/>
      <c r="F599" s="62"/>
      <c r="G599" s="148"/>
      <c r="H599" s="148"/>
      <c r="I599" s="279"/>
      <c r="J599" s="279"/>
    </row>
    <row r="600" s="270" customFormat="1" spans="1:10">
      <c r="A600" s="288"/>
      <c r="B600" s="293"/>
      <c r="C600" s="390"/>
      <c r="D600" s="377"/>
      <c r="E600" s="391"/>
      <c r="F600" s="62"/>
      <c r="G600" s="148"/>
      <c r="H600" s="148"/>
      <c r="I600" s="279"/>
      <c r="J600" s="279"/>
    </row>
    <row r="601" s="270" customFormat="1" spans="1:10">
      <c r="A601" s="288"/>
      <c r="B601" s="293"/>
      <c r="C601" s="390"/>
      <c r="D601" s="377"/>
      <c r="E601" s="391"/>
      <c r="F601" s="62"/>
      <c r="G601" s="148"/>
      <c r="H601" s="148"/>
      <c r="I601" s="279"/>
      <c r="J601" s="279"/>
    </row>
    <row r="602" s="270" customFormat="1" spans="1:10">
      <c r="A602" s="288"/>
      <c r="B602" s="293"/>
      <c r="C602" s="390"/>
      <c r="D602" s="377"/>
      <c r="E602" s="20"/>
      <c r="F602" s="62"/>
      <c r="G602" s="148"/>
      <c r="H602" s="148"/>
      <c r="I602" s="279"/>
      <c r="J602" s="279"/>
    </row>
    <row r="603" s="270" customFormat="1" spans="1:10">
      <c r="A603" s="288"/>
      <c r="B603" s="293"/>
      <c r="C603" s="390"/>
      <c r="D603" s="377"/>
      <c r="E603" s="20"/>
      <c r="F603" s="62"/>
      <c r="G603" s="148"/>
      <c r="H603" s="148"/>
      <c r="I603" s="279"/>
      <c r="J603" s="279"/>
    </row>
    <row r="604" s="270" customFormat="1" spans="1:10">
      <c r="A604" s="288"/>
      <c r="B604" s="293"/>
      <c r="C604" s="390"/>
      <c r="D604" s="377"/>
      <c r="E604" s="396"/>
      <c r="F604" s="62"/>
      <c r="G604" s="148"/>
      <c r="H604" s="148"/>
      <c r="I604" s="279"/>
      <c r="J604" s="279"/>
    </row>
    <row r="605" s="270" customFormat="1" spans="1:10">
      <c r="A605" s="288"/>
      <c r="B605" s="293"/>
      <c r="C605" s="390"/>
      <c r="D605" s="377"/>
      <c r="E605" s="396"/>
      <c r="F605" s="62"/>
      <c r="G605" s="148"/>
      <c r="H605" s="148"/>
      <c r="I605" s="279"/>
      <c r="J605" s="279"/>
    </row>
    <row r="606" s="270" customFormat="1" spans="1:10">
      <c r="A606" s="288"/>
      <c r="B606" s="293"/>
      <c r="C606" s="390"/>
      <c r="D606" s="377"/>
      <c r="E606" s="396"/>
      <c r="F606" s="62"/>
      <c r="G606" s="148"/>
      <c r="H606" s="148"/>
      <c r="I606" s="279"/>
      <c r="J606" s="279"/>
    </row>
    <row r="607" s="270" customFormat="1" spans="1:10">
      <c r="A607" s="288"/>
      <c r="B607" s="293"/>
      <c r="C607" s="390"/>
      <c r="D607" s="377"/>
      <c r="E607" s="396"/>
      <c r="F607" s="62"/>
      <c r="G607" s="148"/>
      <c r="H607" s="148"/>
      <c r="I607" s="279"/>
      <c r="J607" s="279"/>
    </row>
    <row r="608" s="270" customFormat="1" spans="1:10">
      <c r="A608" s="288"/>
      <c r="B608" s="293"/>
      <c r="C608" s="390"/>
      <c r="D608" s="377"/>
      <c r="E608" s="397"/>
      <c r="F608" s="62"/>
      <c r="G608" s="148"/>
      <c r="H608" s="148"/>
      <c r="I608" s="279"/>
      <c r="J608" s="279"/>
    </row>
    <row r="609" s="270" customFormat="1" spans="1:10">
      <c r="A609" s="288"/>
      <c r="B609" s="293"/>
      <c r="C609" s="390"/>
      <c r="D609" s="377"/>
      <c r="E609" s="20"/>
      <c r="F609" s="62"/>
      <c r="G609" s="148"/>
      <c r="H609" s="148"/>
      <c r="I609" s="279"/>
      <c r="J609" s="279"/>
    </row>
    <row r="610" s="270" customFormat="1" spans="1:10">
      <c r="A610" s="288"/>
      <c r="B610" s="293"/>
      <c r="C610" s="390"/>
      <c r="D610" s="377"/>
      <c r="E610" s="20"/>
      <c r="F610" s="62"/>
      <c r="G610" s="148"/>
      <c r="H610" s="148"/>
      <c r="I610" s="279"/>
      <c r="J610" s="279"/>
    </row>
    <row r="611" s="270" customFormat="1" spans="1:10">
      <c r="A611" s="288"/>
      <c r="B611" s="293"/>
      <c r="C611" s="390"/>
      <c r="D611" s="377"/>
      <c r="E611" s="391"/>
      <c r="F611" s="62"/>
      <c r="G611" s="148"/>
      <c r="H611" s="148"/>
      <c r="I611" s="279"/>
      <c r="J611" s="279"/>
    </row>
    <row r="612" s="270" customFormat="1" spans="1:10">
      <c r="A612" s="288"/>
      <c r="B612" s="293"/>
      <c r="C612" s="390"/>
      <c r="D612" s="377"/>
      <c r="E612" s="391"/>
      <c r="F612" s="62"/>
      <c r="G612" s="148"/>
      <c r="H612" s="148"/>
      <c r="I612" s="279"/>
      <c r="J612" s="279"/>
    </row>
    <row r="613" s="270" customFormat="1" spans="1:10">
      <c r="A613" s="288"/>
      <c r="B613" s="293"/>
      <c r="C613" s="390"/>
      <c r="D613" s="377"/>
      <c r="E613" s="391"/>
      <c r="F613" s="62"/>
      <c r="G613" s="148"/>
      <c r="H613" s="148"/>
      <c r="I613" s="279"/>
      <c r="J613" s="279"/>
    </row>
    <row r="614" s="270" customFormat="1" spans="1:10">
      <c r="A614" s="288"/>
      <c r="B614" s="293"/>
      <c r="C614" s="390"/>
      <c r="D614" s="377"/>
      <c r="E614" s="391"/>
      <c r="F614" s="62"/>
      <c r="G614" s="148"/>
      <c r="H614" s="148"/>
      <c r="I614" s="279"/>
      <c r="J614" s="279"/>
    </row>
    <row r="615" s="270" customFormat="1" spans="1:10">
      <c r="A615" s="288"/>
      <c r="B615" s="98"/>
      <c r="C615" s="65"/>
      <c r="D615" s="377"/>
      <c r="E615" s="20"/>
      <c r="F615" s="168"/>
      <c r="G615" s="148"/>
      <c r="H615" s="148"/>
      <c r="I615" s="279"/>
      <c r="J615" s="279"/>
    </row>
    <row r="616" s="270" customFormat="1" spans="1:10">
      <c r="A616" s="288"/>
      <c r="B616" s="98"/>
      <c r="C616" s="65"/>
      <c r="D616" s="377"/>
      <c r="E616" s="20"/>
      <c r="F616" s="168"/>
      <c r="G616" s="148"/>
      <c r="H616" s="148"/>
      <c r="I616" s="279"/>
      <c r="J616" s="279"/>
    </row>
    <row r="617" s="270" customFormat="1" spans="1:10">
      <c r="A617" s="288"/>
      <c r="B617" s="98"/>
      <c r="C617" s="65"/>
      <c r="D617" s="377"/>
      <c r="E617" s="20"/>
      <c r="F617" s="168"/>
      <c r="G617" s="148"/>
      <c r="H617" s="148"/>
      <c r="I617" s="279"/>
      <c r="J617" s="279"/>
    </row>
    <row r="618" s="270" customFormat="1" spans="1:10">
      <c r="A618" s="288"/>
      <c r="B618" s="98"/>
      <c r="C618" s="65"/>
      <c r="D618" s="377"/>
      <c r="E618" s="41"/>
      <c r="F618" s="168"/>
      <c r="G618" s="148"/>
      <c r="H618" s="148"/>
      <c r="I618" s="279"/>
      <c r="J618" s="279"/>
    </row>
    <row r="619" s="270" customFormat="1" spans="1:10">
      <c r="A619" s="288"/>
      <c r="B619" s="98"/>
      <c r="C619" s="67"/>
      <c r="D619" s="377"/>
      <c r="E619" s="20"/>
      <c r="F619" s="168"/>
      <c r="G619" s="148"/>
      <c r="H619" s="148"/>
      <c r="I619" s="279"/>
      <c r="J619" s="279"/>
    </row>
    <row r="620" s="270" customFormat="1" spans="1:10">
      <c r="A620" s="288"/>
      <c r="B620" s="98"/>
      <c r="C620" s="390"/>
      <c r="D620" s="377"/>
      <c r="E620" s="20"/>
      <c r="F620" s="168"/>
      <c r="G620" s="148"/>
      <c r="H620" s="148"/>
      <c r="I620" s="279"/>
      <c r="J620" s="279"/>
    </row>
    <row r="621" s="270" customFormat="1" spans="1:10">
      <c r="A621" s="288"/>
      <c r="B621" s="98"/>
      <c r="C621" s="65"/>
      <c r="D621" s="377"/>
      <c r="E621" s="20"/>
      <c r="F621" s="168"/>
      <c r="G621" s="148"/>
      <c r="H621" s="148"/>
      <c r="I621" s="279"/>
      <c r="J621" s="279"/>
    </row>
    <row r="622" s="270" customFormat="1" spans="1:10">
      <c r="A622" s="288"/>
      <c r="B622" s="293"/>
      <c r="C622" s="390"/>
      <c r="D622" s="377"/>
      <c r="E622" s="20"/>
      <c r="F622" s="62"/>
      <c r="G622" s="148"/>
      <c r="H622" s="148"/>
      <c r="I622" s="279"/>
      <c r="J622" s="279"/>
    </row>
    <row r="623" s="270" customFormat="1" spans="1:10">
      <c r="A623" s="288"/>
      <c r="B623" s="293"/>
      <c r="C623" s="390"/>
      <c r="D623" s="377"/>
      <c r="E623" s="20"/>
      <c r="F623" s="62"/>
      <c r="G623" s="148"/>
      <c r="H623" s="148"/>
      <c r="I623" s="279"/>
      <c r="J623" s="279"/>
    </row>
    <row r="624" s="270" customFormat="1" spans="1:10">
      <c r="A624" s="288"/>
      <c r="B624" s="293"/>
      <c r="C624" s="390"/>
      <c r="D624" s="377"/>
      <c r="E624" s="391"/>
      <c r="F624" s="62"/>
      <c r="G624" s="148"/>
      <c r="H624" s="148"/>
      <c r="I624" s="279"/>
      <c r="J624" s="279"/>
    </row>
    <row r="625" s="270" customFormat="1" spans="1:10">
      <c r="A625" s="288"/>
      <c r="B625" s="293"/>
      <c r="C625" s="390"/>
      <c r="D625" s="377"/>
      <c r="E625" s="391"/>
      <c r="F625" s="62"/>
      <c r="G625" s="148"/>
      <c r="H625" s="148"/>
      <c r="I625" s="279"/>
      <c r="J625" s="279"/>
    </row>
    <row r="626" s="270" customFormat="1" spans="1:10">
      <c r="A626" s="288"/>
      <c r="B626" s="293"/>
      <c r="C626" s="390"/>
      <c r="D626" s="377"/>
      <c r="E626" s="391"/>
      <c r="F626" s="62"/>
      <c r="G626" s="148"/>
      <c r="H626" s="148"/>
      <c r="I626" s="279"/>
      <c r="J626" s="279"/>
    </row>
    <row r="627" s="270" customFormat="1" spans="1:10">
      <c r="A627" s="288"/>
      <c r="B627" s="293"/>
      <c r="C627" s="390"/>
      <c r="D627" s="377"/>
      <c r="E627" s="391"/>
      <c r="F627" s="62"/>
      <c r="G627" s="148"/>
      <c r="H627" s="148"/>
      <c r="I627" s="279"/>
      <c r="J627" s="279"/>
    </row>
    <row r="628" s="270" customFormat="1" spans="1:10">
      <c r="A628" s="288"/>
      <c r="B628" s="293"/>
      <c r="C628" s="390"/>
      <c r="D628" s="377"/>
      <c r="E628" s="391"/>
      <c r="F628" s="62"/>
      <c r="G628" s="148"/>
      <c r="H628" s="148"/>
      <c r="I628" s="279"/>
      <c r="J628" s="279"/>
    </row>
    <row r="629" s="270" customFormat="1" spans="1:10">
      <c r="A629" s="288"/>
      <c r="B629" s="293"/>
      <c r="C629" s="204"/>
      <c r="D629" s="377"/>
      <c r="E629" s="379"/>
      <c r="F629" s="62"/>
      <c r="G629" s="254"/>
      <c r="H629" s="254"/>
      <c r="I629" s="279"/>
      <c r="J629" s="279"/>
    </row>
    <row r="630" s="270" customFormat="1" spans="1:10">
      <c r="A630" s="288"/>
      <c r="B630" s="293"/>
      <c r="C630" s="390"/>
      <c r="D630" s="377"/>
      <c r="E630" s="20"/>
      <c r="F630" s="62"/>
      <c r="G630" s="148"/>
      <c r="H630" s="148"/>
      <c r="I630" s="279"/>
      <c r="J630" s="279"/>
    </row>
    <row r="631" s="270" customFormat="1" spans="1:10">
      <c r="A631" s="288"/>
      <c r="B631" s="293"/>
      <c r="C631" s="390"/>
      <c r="D631" s="377"/>
      <c r="E631" s="20"/>
      <c r="F631" s="62"/>
      <c r="G631" s="148"/>
      <c r="H631" s="148"/>
      <c r="I631" s="279"/>
      <c r="J631" s="279"/>
    </row>
    <row r="632" s="270" customFormat="1" spans="1:10">
      <c r="A632" s="288"/>
      <c r="B632" s="293"/>
      <c r="C632" s="390"/>
      <c r="D632" s="377"/>
      <c r="E632" s="20"/>
      <c r="F632" s="62"/>
      <c r="G632" s="148"/>
      <c r="H632" s="148"/>
      <c r="I632" s="279"/>
      <c r="J632" s="279"/>
    </row>
    <row r="633" s="270" customFormat="1" spans="1:10">
      <c r="A633" s="288"/>
      <c r="B633" s="293"/>
      <c r="C633" s="390"/>
      <c r="D633" s="377"/>
      <c r="E633" s="20"/>
      <c r="F633" s="62"/>
      <c r="G633" s="148"/>
      <c r="H633" s="148"/>
      <c r="I633" s="279"/>
      <c r="J633" s="279"/>
    </row>
    <row r="634" s="270" customFormat="1" spans="1:10">
      <c r="A634" s="288"/>
      <c r="B634" s="293"/>
      <c r="C634" s="390"/>
      <c r="D634" s="377"/>
      <c r="E634" s="396"/>
      <c r="F634" s="62"/>
      <c r="G634" s="148"/>
      <c r="H634" s="148"/>
      <c r="I634" s="279"/>
      <c r="J634" s="279"/>
    </row>
    <row r="635" s="270" customFormat="1" spans="1:10">
      <c r="A635" s="288"/>
      <c r="B635" s="293"/>
      <c r="C635" s="390"/>
      <c r="D635" s="377"/>
      <c r="E635" s="396"/>
      <c r="F635" s="62"/>
      <c r="G635" s="148"/>
      <c r="H635" s="148"/>
      <c r="I635" s="279"/>
      <c r="J635" s="279"/>
    </row>
    <row r="636" s="270" customFormat="1" spans="1:10">
      <c r="A636" s="288"/>
      <c r="B636" s="293"/>
      <c r="C636" s="390"/>
      <c r="D636" s="377"/>
      <c r="E636" s="396"/>
      <c r="F636" s="62"/>
      <c r="G636" s="148"/>
      <c r="H636" s="148"/>
      <c r="I636" s="279"/>
      <c r="J636" s="279"/>
    </row>
    <row r="637" s="271" customFormat="1" spans="1:10">
      <c r="A637" s="288"/>
      <c r="B637" s="293"/>
      <c r="C637" s="390"/>
      <c r="D637" s="377"/>
      <c r="E637" s="397"/>
      <c r="F637" s="62"/>
      <c r="G637" s="148"/>
      <c r="H637" s="148"/>
      <c r="I637" s="279"/>
      <c r="J637" s="279"/>
    </row>
    <row r="638" s="271" customFormat="1" spans="1:10">
      <c r="A638" s="288"/>
      <c r="B638" s="293"/>
      <c r="C638" s="204"/>
      <c r="D638" s="377"/>
      <c r="E638" s="379"/>
      <c r="F638" s="62"/>
      <c r="G638" s="254"/>
      <c r="H638" s="254"/>
      <c r="I638" s="279"/>
      <c r="J638" s="279"/>
    </row>
    <row r="639" s="271" customFormat="1" spans="1:10">
      <c r="A639" s="288"/>
      <c r="B639" s="293"/>
      <c r="C639" s="390"/>
      <c r="D639" s="377"/>
      <c r="E639" s="20"/>
      <c r="F639" s="62"/>
      <c r="G639" s="148"/>
      <c r="H639" s="148"/>
      <c r="I639" s="279"/>
      <c r="J639" s="279"/>
    </row>
    <row r="640" s="271" customFormat="1" spans="1:10">
      <c r="A640" s="288"/>
      <c r="B640" s="293"/>
      <c r="C640" s="390"/>
      <c r="D640" s="377"/>
      <c r="E640" s="20"/>
      <c r="F640" s="62"/>
      <c r="G640" s="258"/>
      <c r="H640" s="258"/>
      <c r="I640" s="279"/>
      <c r="J640" s="279"/>
    </row>
    <row r="641" s="271" customFormat="1" spans="1:10">
      <c r="A641" s="288"/>
      <c r="B641" s="293"/>
      <c r="C641" s="390"/>
      <c r="D641" s="377"/>
      <c r="E641" s="391"/>
      <c r="F641" s="62"/>
      <c r="G641" s="258"/>
      <c r="H641" s="258"/>
      <c r="I641" s="279"/>
      <c r="J641" s="279"/>
    </row>
    <row r="642" s="271" customFormat="1" spans="1:10">
      <c r="A642" s="288"/>
      <c r="B642" s="293"/>
      <c r="C642" s="390"/>
      <c r="D642" s="377"/>
      <c r="E642" s="391"/>
      <c r="F642" s="62"/>
      <c r="G642" s="148"/>
      <c r="H642" s="148"/>
      <c r="I642" s="279"/>
      <c r="J642" s="279"/>
    </row>
    <row r="643" s="271" customFormat="1" spans="1:10">
      <c r="A643" s="288"/>
      <c r="B643" s="293"/>
      <c r="C643" s="390"/>
      <c r="D643" s="377"/>
      <c r="E643" s="391"/>
      <c r="F643" s="62"/>
      <c r="G643" s="148"/>
      <c r="H643" s="148"/>
      <c r="I643" s="279"/>
      <c r="J643" s="279"/>
    </row>
    <row r="644" s="271" customFormat="1" spans="1:10">
      <c r="A644" s="288"/>
      <c r="B644" s="293"/>
      <c r="C644" s="390"/>
      <c r="D644" s="377"/>
      <c r="E644" s="391"/>
      <c r="F644" s="62"/>
      <c r="G644" s="148"/>
      <c r="H644" s="148"/>
      <c r="I644" s="279"/>
      <c r="J644" s="279"/>
    </row>
    <row r="645" s="271" customFormat="1" spans="1:10">
      <c r="A645" s="288"/>
      <c r="B645" s="98"/>
      <c r="C645" s="67"/>
      <c r="D645" s="377"/>
      <c r="E645" s="20"/>
      <c r="F645" s="235"/>
      <c r="G645" s="258"/>
      <c r="H645" s="258"/>
      <c r="I645" s="279"/>
      <c r="J645" s="279"/>
    </row>
    <row r="646" s="271" customFormat="1" spans="1:10">
      <c r="A646" s="288"/>
      <c r="B646" s="98"/>
      <c r="C646" s="67"/>
      <c r="D646" s="377"/>
      <c r="E646" s="20"/>
      <c r="F646" s="235"/>
      <c r="G646" s="258"/>
      <c r="H646" s="258"/>
      <c r="I646" s="279"/>
      <c r="J646" s="279"/>
    </row>
    <row r="647" s="271" customFormat="1" spans="1:10">
      <c r="A647" s="288"/>
      <c r="B647" s="98"/>
      <c r="C647" s="67"/>
      <c r="D647" s="377"/>
      <c r="E647" s="379"/>
      <c r="F647" s="235"/>
      <c r="G647" s="258"/>
      <c r="H647" s="258"/>
      <c r="I647" s="279"/>
      <c r="J647" s="279"/>
    </row>
    <row r="648" s="271" customFormat="1" spans="1:10">
      <c r="A648" s="288"/>
      <c r="B648" s="98"/>
      <c r="C648" s="67"/>
      <c r="D648" s="377"/>
      <c r="E648" s="379"/>
      <c r="F648" s="235"/>
      <c r="G648" s="258"/>
      <c r="H648" s="258"/>
      <c r="I648" s="279"/>
      <c r="J648" s="279"/>
    </row>
    <row r="649" s="271" customFormat="1" spans="1:10">
      <c r="A649" s="288"/>
      <c r="B649" s="98"/>
      <c r="C649" s="67"/>
      <c r="D649" s="377"/>
      <c r="E649" s="379"/>
      <c r="F649" s="235"/>
      <c r="G649" s="258"/>
      <c r="H649" s="258"/>
      <c r="I649" s="279"/>
      <c r="J649" s="279"/>
    </row>
    <row r="650" s="271" customFormat="1" spans="1:10">
      <c r="A650" s="288"/>
      <c r="B650" s="98"/>
      <c r="C650" s="67"/>
      <c r="D650" s="377"/>
      <c r="E650" s="379"/>
      <c r="F650" s="235"/>
      <c r="G650" s="258"/>
      <c r="H650" s="258"/>
      <c r="I650" s="279"/>
      <c r="J650" s="279"/>
    </row>
    <row r="651" s="271" customFormat="1" spans="1:10">
      <c r="A651" s="288"/>
      <c r="B651" s="98"/>
      <c r="C651" s="67"/>
      <c r="D651" s="377"/>
      <c r="E651" s="20"/>
      <c r="F651" s="235"/>
      <c r="G651" s="258"/>
      <c r="H651" s="258"/>
      <c r="I651" s="279"/>
      <c r="J651" s="279"/>
    </row>
    <row r="652" s="271" customFormat="1" spans="1:10">
      <c r="A652" s="288"/>
      <c r="B652" s="98"/>
      <c r="C652" s="67"/>
      <c r="D652" s="377"/>
      <c r="E652" s="20"/>
      <c r="F652" s="235"/>
      <c r="G652" s="258"/>
      <c r="H652" s="258"/>
      <c r="I652" s="279"/>
      <c r="J652" s="279"/>
    </row>
    <row r="653" s="271" customFormat="1" spans="1:10">
      <c r="A653" s="288"/>
      <c r="B653" s="98"/>
      <c r="C653" s="67"/>
      <c r="D653" s="377"/>
      <c r="E653" s="398"/>
      <c r="F653" s="235"/>
      <c r="G653" s="258"/>
      <c r="H653" s="258"/>
      <c r="I653" s="279"/>
      <c r="J653" s="279"/>
    </row>
    <row r="654" s="271" customFormat="1" spans="1:10">
      <c r="A654" s="288"/>
      <c r="B654" s="293"/>
      <c r="C654" s="390"/>
      <c r="D654" s="377"/>
      <c r="E654" s="20"/>
      <c r="F654" s="62"/>
      <c r="G654" s="148"/>
      <c r="H654" s="148"/>
      <c r="I654" s="279"/>
      <c r="J654" s="279"/>
    </row>
    <row r="655" s="271" customFormat="1" spans="1:10">
      <c r="A655" s="288"/>
      <c r="B655" s="293"/>
      <c r="C655" s="390"/>
      <c r="D655" s="377"/>
      <c r="E655" s="20"/>
      <c r="F655" s="62"/>
      <c r="G655" s="148"/>
      <c r="H655" s="148"/>
      <c r="I655" s="279"/>
      <c r="J655" s="279"/>
    </row>
    <row r="656" s="271" customFormat="1" spans="1:10">
      <c r="A656" s="288"/>
      <c r="B656" s="293"/>
      <c r="C656" s="390"/>
      <c r="D656" s="377"/>
      <c r="E656" s="20"/>
      <c r="F656" s="62"/>
      <c r="G656" s="148"/>
      <c r="H656" s="148"/>
      <c r="I656" s="279"/>
      <c r="J656" s="279"/>
    </row>
    <row r="657" s="271" customFormat="1" spans="1:10">
      <c r="A657" s="288"/>
      <c r="B657" s="293"/>
      <c r="C657" s="390"/>
      <c r="D657" s="377"/>
      <c r="E657" s="20"/>
      <c r="F657" s="62"/>
      <c r="G657" s="148"/>
      <c r="H657" s="148"/>
      <c r="I657" s="279"/>
      <c r="J657" s="279"/>
    </row>
    <row r="658" s="271" customFormat="1" spans="1:10">
      <c r="A658" s="288"/>
      <c r="B658" s="293"/>
      <c r="C658" s="390"/>
      <c r="D658" s="377"/>
      <c r="E658" s="386"/>
      <c r="F658" s="62"/>
      <c r="G658" s="148"/>
      <c r="H658" s="148"/>
      <c r="I658" s="279"/>
      <c r="J658" s="279"/>
    </row>
    <row r="659" s="271" customFormat="1" spans="1:10">
      <c r="A659" s="288"/>
      <c r="B659" s="293"/>
      <c r="C659" s="390"/>
      <c r="D659" s="377"/>
      <c r="E659" s="20"/>
      <c r="F659" s="62"/>
      <c r="G659" s="148"/>
      <c r="H659" s="148"/>
      <c r="I659" s="279"/>
      <c r="J659" s="279"/>
    </row>
    <row r="660" s="271" customFormat="1" spans="1:10">
      <c r="A660" s="288"/>
      <c r="B660" s="293"/>
      <c r="C660" s="390"/>
      <c r="D660" s="377"/>
      <c r="E660" s="386"/>
      <c r="F660" s="62"/>
      <c r="G660" s="148"/>
      <c r="H660" s="148"/>
      <c r="I660" s="279"/>
      <c r="J660" s="279"/>
    </row>
    <row r="661" s="271" customFormat="1" spans="1:10">
      <c r="A661" s="288"/>
      <c r="B661" s="293"/>
      <c r="C661" s="390"/>
      <c r="D661" s="377"/>
      <c r="E661" s="386"/>
      <c r="F661" s="62"/>
      <c r="G661" s="148"/>
      <c r="H661" s="148"/>
      <c r="I661" s="279"/>
      <c r="J661" s="279"/>
    </row>
    <row r="662" s="271" customFormat="1" spans="1:10">
      <c r="A662" s="288"/>
      <c r="B662" s="293"/>
      <c r="C662" s="390"/>
      <c r="D662" s="377"/>
      <c r="E662" s="20"/>
      <c r="F662" s="389"/>
      <c r="G662" s="148"/>
      <c r="H662" s="148"/>
      <c r="I662" s="279"/>
      <c r="J662" s="279"/>
    </row>
    <row r="663" s="271" customFormat="1" spans="1:10">
      <c r="A663" s="288"/>
      <c r="B663" s="293"/>
      <c r="C663" s="390"/>
      <c r="D663" s="377"/>
      <c r="E663" s="20"/>
      <c r="F663" s="389"/>
      <c r="G663" s="258"/>
      <c r="H663" s="258"/>
      <c r="I663" s="279"/>
      <c r="J663" s="279"/>
    </row>
    <row r="664" s="271" customFormat="1" spans="1:10">
      <c r="A664" s="288"/>
      <c r="B664" s="293"/>
      <c r="C664" s="390"/>
      <c r="D664" s="377"/>
      <c r="E664" s="391"/>
      <c r="F664" s="389"/>
      <c r="G664" s="258"/>
      <c r="H664" s="258"/>
      <c r="I664" s="279"/>
      <c r="J664" s="279"/>
    </row>
    <row r="665" s="270" customFormat="1" spans="1:10">
      <c r="A665" s="288"/>
      <c r="B665" s="293"/>
      <c r="C665" s="390"/>
      <c r="D665" s="377"/>
      <c r="E665" s="391"/>
      <c r="F665" s="389"/>
      <c r="G665" s="258"/>
      <c r="H665" s="258"/>
      <c r="I665" s="279"/>
      <c r="J665" s="279"/>
    </row>
    <row r="666" s="270" customFormat="1" spans="1:10">
      <c r="A666" s="288"/>
      <c r="B666" s="293"/>
      <c r="C666" s="390"/>
      <c r="D666" s="377"/>
      <c r="E666" s="391"/>
      <c r="F666" s="389"/>
      <c r="G666" s="258"/>
      <c r="H666" s="258"/>
      <c r="I666" s="279"/>
      <c r="J666" s="279"/>
    </row>
    <row r="667" s="270" customFormat="1" spans="1:10">
      <c r="A667" s="288"/>
      <c r="B667" s="293"/>
      <c r="C667" s="390"/>
      <c r="D667" s="377"/>
      <c r="E667" s="20"/>
      <c r="F667" s="62"/>
      <c r="G667" s="258"/>
      <c r="H667" s="258"/>
      <c r="I667" s="279"/>
      <c r="J667" s="279"/>
    </row>
    <row r="668" s="270" customFormat="1" spans="1:10">
      <c r="A668" s="288"/>
      <c r="B668" s="293"/>
      <c r="C668" s="390"/>
      <c r="D668" s="377"/>
      <c r="E668" s="20"/>
      <c r="F668" s="62"/>
      <c r="G668" s="258"/>
      <c r="H668" s="258"/>
      <c r="I668" s="279"/>
      <c r="J668" s="279"/>
    </row>
    <row r="669" s="270" customFormat="1" spans="1:10">
      <c r="A669" s="288"/>
      <c r="B669" s="293"/>
      <c r="C669" s="390"/>
      <c r="D669" s="377"/>
      <c r="E669" s="391"/>
      <c r="F669" s="62"/>
      <c r="G669" s="258"/>
      <c r="H669" s="258"/>
      <c r="I669" s="279"/>
      <c r="J669" s="279"/>
    </row>
    <row r="670" s="270" customFormat="1" spans="1:10">
      <c r="A670" s="288"/>
      <c r="B670" s="293"/>
      <c r="C670" s="390"/>
      <c r="D670" s="377"/>
      <c r="E670" s="391"/>
      <c r="F670" s="62"/>
      <c r="G670" s="258"/>
      <c r="H670" s="258"/>
      <c r="I670" s="279"/>
      <c r="J670" s="279"/>
    </row>
    <row r="671" s="270" customFormat="1" spans="1:10">
      <c r="A671" s="288"/>
      <c r="B671" s="293"/>
      <c r="C671" s="390"/>
      <c r="D671" s="377"/>
      <c r="E671" s="391"/>
      <c r="F671" s="62"/>
      <c r="G671" s="258"/>
      <c r="H671" s="258"/>
      <c r="I671" s="279"/>
      <c r="J671" s="279"/>
    </row>
    <row r="672" s="270" customFormat="1" spans="1:10">
      <c r="A672" s="288"/>
      <c r="B672" s="293"/>
      <c r="C672" s="390"/>
      <c r="D672" s="377"/>
      <c r="E672" s="391"/>
      <c r="F672" s="62"/>
      <c r="G672" s="258"/>
      <c r="H672" s="258"/>
      <c r="I672" s="279"/>
      <c r="J672" s="279"/>
    </row>
    <row r="673" s="270" customFormat="1" spans="1:10">
      <c r="A673" s="288"/>
      <c r="B673" s="293"/>
      <c r="C673" s="390"/>
      <c r="D673" s="377"/>
      <c r="E673" s="20"/>
      <c r="F673" s="389"/>
      <c r="G673" s="148"/>
      <c r="H673" s="148"/>
      <c r="I673" s="279"/>
      <c r="J673" s="279"/>
    </row>
    <row r="674" s="270" customFormat="1" spans="1:10">
      <c r="A674" s="288"/>
      <c r="B674" s="293"/>
      <c r="C674" s="390"/>
      <c r="D674" s="377"/>
      <c r="E674" s="20"/>
      <c r="F674" s="389"/>
      <c r="G674" s="258"/>
      <c r="H674" s="258"/>
      <c r="I674" s="279"/>
      <c r="J674" s="279"/>
    </row>
    <row r="675" s="270" customFormat="1" spans="1:10">
      <c r="A675" s="288"/>
      <c r="B675" s="293"/>
      <c r="C675" s="61"/>
      <c r="D675" s="377"/>
      <c r="E675" s="386"/>
      <c r="F675" s="389"/>
      <c r="G675" s="258"/>
      <c r="H675" s="258"/>
      <c r="I675" s="279"/>
      <c r="J675" s="279"/>
    </row>
    <row r="676" s="270" customFormat="1" spans="1:10">
      <c r="A676" s="288"/>
      <c r="B676" s="293"/>
      <c r="C676" s="390"/>
      <c r="D676" s="377"/>
      <c r="E676" s="391"/>
      <c r="F676" s="389"/>
      <c r="G676" s="258"/>
      <c r="H676" s="258"/>
      <c r="I676" s="279"/>
      <c r="J676" s="279"/>
    </row>
    <row r="677" s="270" customFormat="1" spans="1:10">
      <c r="A677" s="288"/>
      <c r="B677" s="293"/>
      <c r="C677" s="390"/>
      <c r="D677" s="377"/>
      <c r="E677" s="391"/>
      <c r="F677" s="389"/>
      <c r="G677" s="258"/>
      <c r="H677" s="258"/>
      <c r="I677" s="279"/>
      <c r="J677" s="279"/>
    </row>
    <row r="678" s="270" customFormat="1" spans="1:10">
      <c r="A678" s="288"/>
      <c r="B678" s="293"/>
      <c r="C678" s="390"/>
      <c r="D678" s="377"/>
      <c r="E678" s="391"/>
      <c r="F678" s="389"/>
      <c r="G678" s="258"/>
      <c r="H678" s="258"/>
      <c r="I678" s="279"/>
      <c r="J678" s="279"/>
    </row>
    <row r="679" s="270" customFormat="1" spans="1:10">
      <c r="A679" s="288"/>
      <c r="B679" s="293"/>
      <c r="C679" s="390"/>
      <c r="D679" s="377"/>
      <c r="E679" s="20"/>
      <c r="F679" s="62"/>
      <c r="G679" s="258"/>
      <c r="H679" s="258"/>
      <c r="I679" s="279"/>
      <c r="J679" s="279"/>
    </row>
    <row r="680" s="270" customFormat="1" spans="1:10">
      <c r="A680" s="288"/>
      <c r="B680" s="293"/>
      <c r="C680" s="390"/>
      <c r="D680" s="377"/>
      <c r="E680" s="20"/>
      <c r="F680" s="62"/>
      <c r="G680" s="258"/>
      <c r="H680" s="258"/>
      <c r="I680" s="279"/>
      <c r="J680" s="279"/>
    </row>
    <row r="681" s="270" customFormat="1" spans="1:10">
      <c r="A681" s="288"/>
      <c r="B681" s="293"/>
      <c r="C681" s="390"/>
      <c r="D681" s="377"/>
      <c r="E681" s="391"/>
      <c r="F681" s="62"/>
      <c r="G681" s="258"/>
      <c r="H681" s="258"/>
      <c r="I681" s="279"/>
      <c r="J681" s="279"/>
    </row>
    <row r="682" s="270" customFormat="1" spans="1:10">
      <c r="A682" s="288"/>
      <c r="B682" s="293"/>
      <c r="C682" s="390"/>
      <c r="D682" s="377"/>
      <c r="E682" s="391"/>
      <c r="F682" s="62"/>
      <c r="G682" s="258"/>
      <c r="H682" s="258"/>
      <c r="I682" s="279"/>
      <c r="J682" s="279"/>
    </row>
    <row r="683" s="270" customFormat="1" spans="1:10">
      <c r="A683" s="288"/>
      <c r="B683" s="293"/>
      <c r="C683" s="390"/>
      <c r="D683" s="377"/>
      <c r="E683" s="391"/>
      <c r="F683" s="62"/>
      <c r="G683" s="258"/>
      <c r="H683" s="258"/>
      <c r="I683" s="279"/>
      <c r="J683" s="279"/>
    </row>
    <row r="684" s="270" customFormat="1" spans="1:10">
      <c r="A684" s="288"/>
      <c r="B684" s="293"/>
      <c r="C684" s="390"/>
      <c r="D684" s="377"/>
      <c r="E684" s="20"/>
      <c r="F684" s="62"/>
      <c r="G684" s="258"/>
      <c r="H684" s="258"/>
      <c r="I684" s="279"/>
      <c r="J684" s="279"/>
    </row>
    <row r="685" s="270" customFormat="1" spans="1:10">
      <c r="A685" s="288"/>
      <c r="B685" s="293"/>
      <c r="C685" s="390"/>
      <c r="D685" s="377"/>
      <c r="E685" s="20"/>
      <c r="F685" s="62"/>
      <c r="G685" s="258"/>
      <c r="H685" s="258"/>
      <c r="I685" s="279"/>
      <c r="J685" s="279"/>
    </row>
    <row r="686" s="270" customFormat="1" spans="1:10">
      <c r="A686" s="288"/>
      <c r="B686" s="293"/>
      <c r="C686" s="390"/>
      <c r="D686" s="377"/>
      <c r="E686" s="391"/>
      <c r="F686" s="62"/>
      <c r="G686" s="258"/>
      <c r="H686" s="258"/>
      <c r="I686" s="279"/>
      <c r="J686" s="279"/>
    </row>
    <row r="687" s="270" customFormat="1" spans="1:10">
      <c r="A687" s="288"/>
      <c r="B687" s="293"/>
      <c r="C687" s="390"/>
      <c r="D687" s="377"/>
      <c r="E687" s="391"/>
      <c r="F687" s="62"/>
      <c r="G687" s="258"/>
      <c r="H687" s="258"/>
      <c r="I687" s="279"/>
      <c r="J687" s="279"/>
    </row>
    <row r="688" s="270" customFormat="1" spans="1:10">
      <c r="A688" s="288"/>
      <c r="B688" s="293"/>
      <c r="C688" s="390"/>
      <c r="D688" s="377"/>
      <c r="E688" s="391"/>
      <c r="F688" s="62"/>
      <c r="G688" s="258"/>
      <c r="H688" s="258"/>
      <c r="I688" s="279"/>
      <c r="J688" s="279"/>
    </row>
    <row r="689" s="270" customFormat="1" spans="1:10">
      <c r="A689" s="288"/>
      <c r="B689" s="293"/>
      <c r="C689" s="390"/>
      <c r="D689" s="377"/>
      <c r="E689" s="20"/>
      <c r="F689" s="62"/>
      <c r="G689" s="258"/>
      <c r="H689" s="258"/>
      <c r="I689" s="279"/>
      <c r="J689" s="279"/>
    </row>
    <row r="690" s="270" customFormat="1" spans="1:10">
      <c r="A690" s="288"/>
      <c r="B690" s="293"/>
      <c r="C690" s="390"/>
      <c r="D690" s="377"/>
      <c r="E690" s="20"/>
      <c r="F690" s="62"/>
      <c r="G690" s="258"/>
      <c r="H690" s="258"/>
      <c r="I690" s="279"/>
      <c r="J690" s="279"/>
    </row>
    <row r="691" s="270" customFormat="1" spans="1:10">
      <c r="A691" s="288"/>
      <c r="B691" s="293"/>
      <c r="C691" s="390"/>
      <c r="D691" s="377"/>
      <c r="E691" s="391"/>
      <c r="F691" s="62"/>
      <c r="G691" s="258"/>
      <c r="H691" s="258"/>
      <c r="I691" s="279"/>
      <c r="J691" s="279"/>
    </row>
    <row r="692" s="270" customFormat="1" spans="1:10">
      <c r="A692" s="288"/>
      <c r="B692" s="293"/>
      <c r="C692" s="390"/>
      <c r="D692" s="377"/>
      <c r="E692" s="391"/>
      <c r="F692" s="62"/>
      <c r="G692" s="258"/>
      <c r="H692" s="258"/>
      <c r="I692" s="279"/>
      <c r="J692" s="279"/>
    </row>
    <row r="693" s="270" customFormat="1" spans="1:10">
      <c r="A693" s="288"/>
      <c r="B693" s="293"/>
      <c r="C693" s="390"/>
      <c r="D693" s="377"/>
      <c r="E693" s="391"/>
      <c r="F693" s="62"/>
      <c r="G693" s="258"/>
      <c r="H693" s="258"/>
      <c r="I693" s="279"/>
      <c r="J693" s="279"/>
    </row>
    <row r="694" s="270" customFormat="1" spans="1:10">
      <c r="A694" s="288"/>
      <c r="B694" s="293"/>
      <c r="C694" s="390"/>
      <c r="D694" s="377"/>
      <c r="E694" s="391"/>
      <c r="F694" s="62"/>
      <c r="G694" s="258"/>
      <c r="H694" s="258"/>
      <c r="I694" s="279"/>
      <c r="J694" s="279"/>
    </row>
    <row r="695" s="270" customFormat="1" spans="1:10">
      <c r="A695" s="288"/>
      <c r="B695" s="293"/>
      <c r="C695" s="390"/>
      <c r="D695" s="377"/>
      <c r="E695" s="20"/>
      <c r="F695" s="62"/>
      <c r="G695" s="258"/>
      <c r="H695" s="258"/>
      <c r="I695" s="279"/>
      <c r="J695" s="279"/>
    </row>
    <row r="696" s="270" customFormat="1" spans="1:10">
      <c r="A696" s="288"/>
      <c r="B696" s="293"/>
      <c r="C696" s="390"/>
      <c r="D696" s="377"/>
      <c r="E696" s="20"/>
      <c r="F696" s="62"/>
      <c r="G696" s="258"/>
      <c r="H696" s="258"/>
      <c r="I696" s="279"/>
      <c r="J696" s="279"/>
    </row>
    <row r="697" s="270" customFormat="1" spans="1:10">
      <c r="A697" s="288"/>
      <c r="B697" s="293"/>
      <c r="C697" s="390"/>
      <c r="D697" s="377"/>
      <c r="E697" s="20"/>
      <c r="F697" s="62"/>
      <c r="G697" s="258"/>
      <c r="H697" s="258"/>
      <c r="I697" s="279"/>
      <c r="J697" s="279"/>
    </row>
    <row r="698" s="270" customFormat="1" spans="1:10">
      <c r="A698" s="288"/>
      <c r="B698" s="293"/>
      <c r="C698" s="390"/>
      <c r="D698" s="377"/>
      <c r="E698" s="391"/>
      <c r="F698" s="62"/>
      <c r="G698" s="258"/>
      <c r="H698" s="258"/>
      <c r="I698" s="279"/>
      <c r="J698" s="279"/>
    </row>
    <row r="699" s="270" customFormat="1" spans="1:10">
      <c r="A699" s="288"/>
      <c r="B699" s="293"/>
      <c r="C699" s="390"/>
      <c r="D699" s="377"/>
      <c r="E699" s="391"/>
      <c r="F699" s="62"/>
      <c r="G699" s="258"/>
      <c r="H699" s="258"/>
      <c r="I699" s="279"/>
      <c r="J699" s="279"/>
    </row>
    <row r="700" s="270" customFormat="1" spans="1:10">
      <c r="A700" s="288"/>
      <c r="B700" s="293"/>
      <c r="C700" s="390"/>
      <c r="D700" s="377"/>
      <c r="E700" s="391"/>
      <c r="F700" s="62"/>
      <c r="G700" s="258"/>
      <c r="H700" s="258"/>
      <c r="I700" s="279"/>
      <c r="J700" s="279"/>
    </row>
    <row r="701" s="270" customFormat="1" spans="1:10">
      <c r="A701" s="288"/>
      <c r="B701" s="293"/>
      <c r="C701" s="390"/>
      <c r="D701" s="377"/>
      <c r="E701" s="20"/>
      <c r="F701" s="62"/>
      <c r="G701" s="258"/>
      <c r="H701" s="258"/>
      <c r="I701" s="279"/>
      <c r="J701" s="279"/>
    </row>
    <row r="702" s="270" customFormat="1" spans="1:10">
      <c r="A702" s="288"/>
      <c r="B702" s="293"/>
      <c r="C702" s="390"/>
      <c r="D702" s="377"/>
      <c r="E702" s="20"/>
      <c r="F702" s="389"/>
      <c r="G702" s="148"/>
      <c r="H702" s="148"/>
      <c r="I702" s="279"/>
      <c r="J702" s="279"/>
    </row>
    <row r="703" s="270" customFormat="1" spans="1:10">
      <c r="A703" s="288"/>
      <c r="B703" s="293"/>
      <c r="C703" s="390"/>
      <c r="D703" s="377"/>
      <c r="E703" s="20"/>
      <c r="F703" s="389"/>
      <c r="G703" s="258"/>
      <c r="H703" s="258"/>
      <c r="I703" s="279"/>
      <c r="J703" s="279"/>
    </row>
    <row r="704" s="270" customFormat="1" spans="1:10">
      <c r="A704" s="288"/>
      <c r="B704" s="293"/>
      <c r="C704" s="390"/>
      <c r="D704" s="377"/>
      <c r="E704" s="391"/>
      <c r="F704" s="389"/>
      <c r="G704" s="258"/>
      <c r="H704" s="258"/>
      <c r="I704" s="279"/>
      <c r="J704" s="279"/>
    </row>
    <row r="705" s="270" customFormat="1" spans="1:10">
      <c r="A705" s="288"/>
      <c r="B705" s="293"/>
      <c r="C705" s="390"/>
      <c r="D705" s="377"/>
      <c r="E705" s="391"/>
      <c r="F705" s="389"/>
      <c r="G705" s="258"/>
      <c r="H705" s="258"/>
      <c r="I705" s="279"/>
      <c r="J705" s="279"/>
    </row>
    <row r="706" s="270" customFormat="1" spans="1:10">
      <c r="A706" s="288"/>
      <c r="B706" s="293"/>
      <c r="C706" s="390"/>
      <c r="D706" s="377"/>
      <c r="E706" s="391"/>
      <c r="F706" s="389"/>
      <c r="G706" s="258"/>
      <c r="H706" s="258"/>
      <c r="I706" s="279"/>
      <c r="J706" s="279"/>
    </row>
    <row r="707" s="270" customFormat="1" spans="1:10">
      <c r="A707" s="288"/>
      <c r="B707" s="293"/>
      <c r="C707" s="390"/>
      <c r="D707" s="377"/>
      <c r="E707" s="391"/>
      <c r="F707" s="389"/>
      <c r="G707" s="258"/>
      <c r="H707" s="258"/>
      <c r="I707" s="279"/>
      <c r="J707" s="279"/>
    </row>
    <row r="708" s="270" customFormat="1" spans="1:10">
      <c r="A708" s="288"/>
      <c r="B708" s="97"/>
      <c r="C708" s="204"/>
      <c r="D708" s="377"/>
      <c r="E708" s="28"/>
      <c r="F708" s="389"/>
      <c r="G708" s="203"/>
      <c r="H708" s="203"/>
      <c r="I708" s="279"/>
      <c r="J708" s="279"/>
    </row>
    <row r="709" s="270" customFormat="1" spans="1:10">
      <c r="A709" s="288"/>
      <c r="B709" s="97"/>
      <c r="C709" s="204"/>
      <c r="D709" s="377"/>
      <c r="E709" s="28"/>
      <c r="F709" s="389"/>
      <c r="G709" s="203"/>
      <c r="H709" s="203"/>
      <c r="I709" s="279"/>
      <c r="J709" s="279"/>
    </row>
    <row r="710" s="270" customFormat="1" spans="1:10">
      <c r="A710" s="288"/>
      <c r="B710" s="293"/>
      <c r="C710" s="205"/>
      <c r="D710" s="377"/>
      <c r="E710" s="21"/>
      <c r="F710" s="389"/>
      <c r="G710" s="210"/>
      <c r="H710" s="210"/>
      <c r="I710" s="279"/>
      <c r="J710" s="279"/>
    </row>
    <row r="711" s="270" customFormat="1" spans="1:10">
      <c r="A711" s="288"/>
      <c r="B711" s="293"/>
      <c r="C711" s="205"/>
      <c r="D711" s="377"/>
      <c r="E711" s="21"/>
      <c r="F711" s="389"/>
      <c r="G711" s="210"/>
      <c r="H711" s="210"/>
      <c r="I711" s="279"/>
      <c r="J711" s="279"/>
    </row>
    <row r="712" s="270" customFormat="1" spans="1:10">
      <c r="A712" s="288"/>
      <c r="B712" s="293"/>
      <c r="C712" s="390"/>
      <c r="D712" s="377"/>
      <c r="E712" s="391"/>
      <c r="F712" s="389"/>
      <c r="G712" s="395"/>
      <c r="H712" s="395"/>
      <c r="I712" s="279"/>
      <c r="J712" s="279"/>
    </row>
    <row r="713" s="270" customFormat="1" spans="1:10">
      <c r="A713" s="288"/>
      <c r="B713" s="293"/>
      <c r="C713" s="67"/>
      <c r="D713" s="377"/>
      <c r="E713" s="29"/>
      <c r="F713" s="389"/>
      <c r="G713" s="210"/>
      <c r="H713" s="210"/>
      <c r="I713" s="279"/>
      <c r="J713" s="279"/>
    </row>
    <row r="714" s="270" customFormat="1" spans="1:10">
      <c r="A714" s="288"/>
      <c r="B714" s="97"/>
      <c r="C714" s="98"/>
      <c r="D714" s="377"/>
      <c r="E714" s="28"/>
      <c r="F714" s="389"/>
      <c r="G714" s="203"/>
      <c r="H714" s="203"/>
      <c r="I714" s="279"/>
      <c r="J714" s="279"/>
    </row>
    <row r="715" s="270" customFormat="1" spans="1:10">
      <c r="A715" s="288"/>
      <c r="B715" s="97"/>
      <c r="C715" s="98"/>
      <c r="D715" s="377"/>
      <c r="E715" s="28"/>
      <c r="F715" s="389"/>
      <c r="G715" s="203"/>
      <c r="H715" s="203"/>
      <c r="I715" s="279"/>
      <c r="J715" s="279"/>
    </row>
    <row r="716" s="270" customFormat="1" spans="1:10">
      <c r="A716" s="288"/>
      <c r="B716" s="293"/>
      <c r="C716" s="205"/>
      <c r="D716" s="377"/>
      <c r="E716" s="21"/>
      <c r="F716" s="389"/>
      <c r="G716" s="399"/>
      <c r="H716" s="210"/>
      <c r="I716" s="279"/>
      <c r="J716" s="279"/>
    </row>
    <row r="717" s="270" customFormat="1" spans="1:10">
      <c r="A717" s="288"/>
      <c r="B717" s="293"/>
      <c r="C717" s="205"/>
      <c r="D717" s="377"/>
      <c r="E717" s="21"/>
      <c r="F717" s="389"/>
      <c r="G717" s="399"/>
      <c r="H717" s="210"/>
      <c r="I717" s="279"/>
      <c r="J717" s="279"/>
    </row>
    <row r="718" s="270" customFormat="1" spans="1:10">
      <c r="A718" s="288"/>
      <c r="B718" s="293"/>
      <c r="C718" s="400"/>
      <c r="D718" s="377"/>
      <c r="E718" s="401"/>
      <c r="F718" s="389"/>
      <c r="G718" s="402"/>
      <c r="H718" s="403"/>
      <c r="I718" s="279"/>
      <c r="J718" s="279"/>
    </row>
    <row r="719" s="270" customFormat="1" spans="1:10">
      <c r="A719" s="288"/>
      <c r="B719" s="293"/>
      <c r="C719" s="67"/>
      <c r="D719" s="377"/>
      <c r="E719" s="29"/>
      <c r="F719" s="389"/>
      <c r="G719" s="399"/>
      <c r="H719" s="210"/>
      <c r="I719" s="279"/>
      <c r="J719" s="279"/>
    </row>
    <row r="720" s="270" customFormat="1" spans="1:10">
      <c r="A720" s="288"/>
      <c r="B720" s="98"/>
      <c r="C720" s="65"/>
      <c r="D720" s="377"/>
      <c r="E720" s="20"/>
      <c r="F720" s="168"/>
      <c r="G720" s="148"/>
      <c r="H720" s="148"/>
      <c r="I720" s="279"/>
      <c r="J720" s="279"/>
    </row>
    <row r="721" s="270" customFormat="1" spans="1:10">
      <c r="A721" s="288"/>
      <c r="B721" s="98"/>
      <c r="C721" s="65"/>
      <c r="D721" s="377"/>
      <c r="E721" s="20"/>
      <c r="F721" s="168"/>
      <c r="G721" s="148"/>
      <c r="H721" s="148"/>
      <c r="I721" s="279"/>
      <c r="J721" s="279"/>
    </row>
    <row r="722" s="270" customFormat="1" spans="1:10">
      <c r="A722" s="288"/>
      <c r="B722" s="293"/>
      <c r="C722" s="390"/>
      <c r="D722" s="377"/>
      <c r="E722" s="20"/>
      <c r="F722" s="389"/>
      <c r="G722" s="148"/>
      <c r="H722" s="148"/>
      <c r="I722" s="279"/>
      <c r="J722" s="279"/>
    </row>
    <row r="723" s="270" customFormat="1" spans="1:10">
      <c r="A723" s="288"/>
      <c r="B723" s="293"/>
      <c r="C723" s="390"/>
      <c r="D723" s="377"/>
      <c r="E723" s="20"/>
      <c r="F723" s="389"/>
      <c r="G723" s="258"/>
      <c r="H723" s="258"/>
      <c r="I723" s="279"/>
      <c r="J723" s="279"/>
    </row>
    <row r="724" s="270" customFormat="1" spans="1:10">
      <c r="A724" s="288"/>
      <c r="B724" s="293"/>
      <c r="C724" s="390"/>
      <c r="D724" s="377"/>
      <c r="E724" s="20"/>
      <c r="F724" s="389"/>
      <c r="G724" s="258"/>
      <c r="H724" s="258"/>
      <c r="I724" s="279"/>
      <c r="J724" s="279"/>
    </row>
    <row r="725" s="270" customFormat="1" spans="1:10">
      <c r="A725" s="288"/>
      <c r="B725" s="293"/>
      <c r="C725" s="390"/>
      <c r="D725" s="377"/>
      <c r="E725" s="20"/>
      <c r="F725" s="389"/>
      <c r="G725" s="258"/>
      <c r="H725" s="258"/>
      <c r="I725" s="279"/>
      <c r="J725" s="279"/>
    </row>
    <row r="726" s="270" customFormat="1" spans="1:10">
      <c r="A726" s="288"/>
      <c r="B726" s="293"/>
      <c r="C726" s="390"/>
      <c r="D726" s="377"/>
      <c r="E726" s="20"/>
      <c r="F726" s="389"/>
      <c r="G726" s="258"/>
      <c r="H726" s="258"/>
      <c r="I726" s="279"/>
      <c r="J726" s="279"/>
    </row>
    <row r="727" s="270" customFormat="1" spans="1:10">
      <c r="A727" s="288"/>
      <c r="B727" s="293"/>
      <c r="C727" s="390"/>
      <c r="D727" s="377"/>
      <c r="E727" s="20"/>
      <c r="F727" s="389"/>
      <c r="G727" s="258"/>
      <c r="H727" s="258"/>
      <c r="I727" s="279"/>
      <c r="J727" s="279"/>
    </row>
    <row r="728" s="270" customFormat="1" spans="1:10">
      <c r="A728" s="288"/>
      <c r="B728" s="293"/>
      <c r="C728" s="390"/>
      <c r="D728" s="377"/>
      <c r="E728" s="391"/>
      <c r="F728" s="389"/>
      <c r="G728" s="258"/>
      <c r="H728" s="258"/>
      <c r="I728" s="279"/>
      <c r="J728" s="279"/>
    </row>
    <row r="729" s="270" customFormat="1" spans="1:10">
      <c r="A729" s="288"/>
      <c r="B729" s="293"/>
      <c r="C729" s="390"/>
      <c r="D729" s="377"/>
      <c r="E729" s="391"/>
      <c r="F729" s="389"/>
      <c r="G729" s="258"/>
      <c r="H729" s="258"/>
      <c r="I729" s="279"/>
      <c r="J729" s="279"/>
    </row>
    <row r="730" s="270" customFormat="1" spans="1:10">
      <c r="A730" s="288"/>
      <c r="B730" s="293"/>
      <c r="C730" s="390"/>
      <c r="D730" s="377"/>
      <c r="E730" s="391"/>
      <c r="F730" s="389"/>
      <c r="G730" s="258"/>
      <c r="H730" s="258"/>
      <c r="I730" s="279"/>
      <c r="J730" s="279"/>
    </row>
    <row r="731" s="270" customFormat="1" spans="1:10">
      <c r="A731" s="288"/>
      <c r="B731" s="293"/>
      <c r="C731" s="390"/>
      <c r="D731" s="377"/>
      <c r="E731" s="20"/>
      <c r="F731" s="389"/>
      <c r="G731" s="258"/>
      <c r="H731" s="258"/>
      <c r="I731" s="279"/>
      <c r="J731" s="279"/>
    </row>
    <row r="732" s="270" customFormat="1" spans="1:10">
      <c r="A732" s="288"/>
      <c r="B732" s="293"/>
      <c r="C732" s="390"/>
      <c r="D732" s="377"/>
      <c r="E732" s="20"/>
      <c r="F732" s="389"/>
      <c r="G732" s="258"/>
      <c r="H732" s="258"/>
      <c r="I732" s="279"/>
      <c r="J732" s="279"/>
    </row>
    <row r="733" s="270" customFormat="1" spans="1:10">
      <c r="A733" s="288"/>
      <c r="B733" s="293"/>
      <c r="C733" s="390"/>
      <c r="D733" s="377"/>
      <c r="E733" s="20"/>
      <c r="F733" s="389"/>
      <c r="G733" s="258"/>
      <c r="H733" s="258"/>
      <c r="I733" s="279"/>
      <c r="J733" s="279"/>
    </row>
    <row r="734" s="270" customFormat="1" spans="1:10">
      <c r="A734" s="288"/>
      <c r="B734" s="293"/>
      <c r="C734" s="390"/>
      <c r="D734" s="377"/>
      <c r="E734" s="20"/>
      <c r="F734" s="389"/>
      <c r="G734" s="258"/>
      <c r="H734" s="258"/>
      <c r="I734" s="279"/>
      <c r="J734" s="279"/>
    </row>
    <row r="735" s="270" customFormat="1" spans="1:10">
      <c r="A735" s="288"/>
      <c r="B735" s="293"/>
      <c r="C735" s="390"/>
      <c r="D735" s="377"/>
      <c r="E735" s="391"/>
      <c r="F735" s="389"/>
      <c r="G735" s="258"/>
      <c r="H735" s="258"/>
      <c r="I735" s="279"/>
      <c r="J735" s="279"/>
    </row>
    <row r="736" s="270" customFormat="1" spans="1:10">
      <c r="A736" s="288"/>
      <c r="B736" s="293"/>
      <c r="C736" s="390"/>
      <c r="D736" s="377"/>
      <c r="E736" s="391"/>
      <c r="F736" s="389"/>
      <c r="G736" s="258"/>
      <c r="H736" s="258"/>
      <c r="I736" s="279"/>
      <c r="J736" s="279"/>
    </row>
    <row r="737" s="270" customFormat="1" spans="1:10">
      <c r="A737" s="288"/>
      <c r="B737" s="293"/>
      <c r="C737" s="390"/>
      <c r="D737" s="377"/>
      <c r="E737" s="391"/>
      <c r="F737" s="389"/>
      <c r="G737" s="258"/>
      <c r="H737" s="258"/>
      <c r="I737" s="279"/>
      <c r="J737" s="279"/>
    </row>
    <row r="738" s="270" customFormat="1" spans="1:10">
      <c r="A738" s="288"/>
      <c r="B738" s="293"/>
      <c r="C738" s="390"/>
      <c r="D738" s="377"/>
      <c r="E738" s="391"/>
      <c r="F738" s="389"/>
      <c r="G738" s="258"/>
      <c r="H738" s="258"/>
      <c r="I738" s="279"/>
      <c r="J738" s="279"/>
    </row>
    <row r="739" s="270" customFormat="1" spans="1:10">
      <c r="A739" s="288"/>
      <c r="B739" s="293"/>
      <c r="C739" s="390"/>
      <c r="D739" s="377"/>
      <c r="E739" s="20"/>
      <c r="F739" s="389"/>
      <c r="G739" s="258"/>
      <c r="H739" s="258"/>
      <c r="I739" s="279"/>
      <c r="J739" s="279"/>
    </row>
    <row r="740" s="271" customFormat="1" spans="1:10">
      <c r="A740" s="288"/>
      <c r="B740" s="293"/>
      <c r="C740" s="390"/>
      <c r="D740" s="377"/>
      <c r="E740" s="20"/>
      <c r="F740" s="389"/>
      <c r="G740" s="258"/>
      <c r="H740" s="258"/>
      <c r="I740" s="279"/>
      <c r="J740" s="279"/>
    </row>
    <row r="741" s="271" customFormat="1" spans="1:10">
      <c r="A741" s="288"/>
      <c r="B741" s="293"/>
      <c r="C741" s="390"/>
      <c r="D741" s="377"/>
      <c r="E741" s="391"/>
      <c r="F741" s="389"/>
      <c r="G741" s="258"/>
      <c r="H741" s="258"/>
      <c r="I741" s="279"/>
      <c r="J741" s="279"/>
    </row>
    <row r="742" s="271" customFormat="1" spans="1:10">
      <c r="A742" s="288"/>
      <c r="B742" s="293"/>
      <c r="C742" s="390"/>
      <c r="D742" s="377"/>
      <c r="E742" s="391"/>
      <c r="F742" s="389"/>
      <c r="G742" s="258"/>
      <c r="H742" s="258"/>
      <c r="I742" s="279"/>
      <c r="J742" s="279"/>
    </row>
    <row r="743" s="271" customFormat="1" spans="1:10">
      <c r="A743" s="288"/>
      <c r="B743" s="293"/>
      <c r="C743" s="390"/>
      <c r="D743" s="377"/>
      <c r="E743" s="391"/>
      <c r="F743" s="389"/>
      <c r="G743" s="258"/>
      <c r="H743" s="258"/>
      <c r="I743" s="279"/>
      <c r="J743" s="279"/>
    </row>
    <row r="744" s="271" customFormat="1" spans="1:10">
      <c r="A744" s="288"/>
      <c r="B744" s="293"/>
      <c r="C744" s="390"/>
      <c r="D744" s="377"/>
      <c r="E744" s="391"/>
      <c r="F744" s="389"/>
      <c r="G744" s="258"/>
      <c r="H744" s="258"/>
      <c r="I744" s="279"/>
      <c r="J744" s="279"/>
    </row>
    <row r="745" s="271" customFormat="1" spans="1:10">
      <c r="A745" s="288"/>
      <c r="B745" s="293"/>
      <c r="C745" s="390"/>
      <c r="D745" s="377"/>
      <c r="E745" s="20"/>
      <c r="F745" s="389"/>
      <c r="G745" s="258"/>
      <c r="H745" s="258"/>
      <c r="I745" s="279"/>
      <c r="J745" s="279"/>
    </row>
    <row r="746" s="271" customFormat="1" spans="1:10">
      <c r="A746" s="288"/>
      <c r="B746" s="293"/>
      <c r="C746" s="390"/>
      <c r="D746" s="377"/>
      <c r="E746" s="20"/>
      <c r="F746" s="389"/>
      <c r="G746" s="258"/>
      <c r="H746" s="258"/>
      <c r="I746" s="279"/>
      <c r="J746" s="279"/>
    </row>
    <row r="747" s="271" customFormat="1" spans="1:10">
      <c r="A747" s="288"/>
      <c r="B747" s="293"/>
      <c r="C747" s="390"/>
      <c r="D747" s="377"/>
      <c r="E747" s="391"/>
      <c r="F747" s="389"/>
      <c r="G747" s="258"/>
      <c r="H747" s="258"/>
      <c r="I747" s="279"/>
      <c r="J747" s="279"/>
    </row>
    <row r="748" s="271" customFormat="1" spans="1:10">
      <c r="A748" s="288"/>
      <c r="B748" s="314"/>
      <c r="C748" s="61"/>
      <c r="D748" s="377"/>
      <c r="E748" s="404"/>
      <c r="F748" s="389"/>
      <c r="G748" s="258"/>
      <c r="H748" s="258"/>
      <c r="I748" s="279"/>
      <c r="J748" s="279"/>
    </row>
    <row r="749" s="271" customFormat="1" spans="1:10">
      <c r="A749" s="288"/>
      <c r="B749" s="293"/>
      <c r="C749" s="390"/>
      <c r="D749" s="377"/>
      <c r="E749" s="391"/>
      <c r="F749" s="389"/>
      <c r="G749" s="258"/>
      <c r="H749" s="258"/>
      <c r="I749" s="279"/>
      <c r="J749" s="279"/>
    </row>
    <row r="750" s="271" customFormat="1" spans="1:10">
      <c r="A750" s="288"/>
      <c r="B750" s="293"/>
      <c r="C750" s="390"/>
      <c r="D750" s="377"/>
      <c r="E750" s="391"/>
      <c r="F750" s="389"/>
      <c r="G750" s="258"/>
      <c r="H750" s="258"/>
      <c r="I750" s="279"/>
      <c r="J750" s="279"/>
    </row>
    <row r="751" s="271" customFormat="1" spans="1:10">
      <c r="A751" s="288"/>
      <c r="B751" s="293"/>
      <c r="C751" s="390"/>
      <c r="D751" s="377"/>
      <c r="E751" s="391"/>
      <c r="F751" s="389"/>
      <c r="G751" s="258"/>
      <c r="H751" s="258"/>
      <c r="I751" s="279"/>
      <c r="J751" s="279"/>
    </row>
    <row r="752" s="271" customFormat="1" spans="1:10">
      <c r="A752" s="288"/>
      <c r="B752" s="102"/>
      <c r="C752" s="390"/>
      <c r="D752" s="377"/>
      <c r="E752" s="393"/>
      <c r="F752" s="389"/>
      <c r="G752" s="258"/>
      <c r="H752" s="66"/>
      <c r="I752" s="279"/>
      <c r="J752" s="279"/>
    </row>
    <row r="753" s="271" customFormat="1" spans="1:10">
      <c r="A753" s="288"/>
      <c r="B753" s="102"/>
      <c r="C753" s="390"/>
      <c r="D753" s="377"/>
      <c r="E753" s="393"/>
      <c r="F753" s="389"/>
      <c r="G753" s="258"/>
      <c r="H753" s="66"/>
      <c r="I753" s="279"/>
      <c r="J753" s="279"/>
    </row>
    <row r="754" s="271" customFormat="1" spans="1:10">
      <c r="A754" s="288"/>
      <c r="B754" s="293"/>
      <c r="C754" s="389"/>
      <c r="D754" s="377"/>
      <c r="E754" s="393"/>
      <c r="F754" s="389"/>
      <c r="G754" s="258"/>
      <c r="H754" s="66"/>
      <c r="I754" s="279"/>
      <c r="J754" s="279"/>
    </row>
    <row r="755" s="271" customFormat="1" spans="1:10">
      <c r="A755" s="288"/>
      <c r="B755" s="293"/>
      <c r="C755" s="390"/>
      <c r="D755" s="377"/>
      <c r="E755" s="393"/>
      <c r="F755" s="389"/>
      <c r="G755" s="258"/>
      <c r="H755" s="66"/>
      <c r="I755" s="279"/>
      <c r="J755" s="279"/>
    </row>
    <row r="756" s="271" customFormat="1" spans="1:10">
      <c r="A756" s="288"/>
      <c r="B756" s="293"/>
      <c r="C756" s="390"/>
      <c r="D756" s="377"/>
      <c r="E756" s="393"/>
      <c r="F756" s="389"/>
      <c r="G756" s="258"/>
      <c r="H756" s="66"/>
      <c r="I756" s="279"/>
      <c r="J756" s="279"/>
    </row>
    <row r="757" s="271" customFormat="1" spans="1:10">
      <c r="A757" s="288"/>
      <c r="B757" s="293"/>
      <c r="C757" s="390"/>
      <c r="D757" s="377"/>
      <c r="E757" s="20"/>
      <c r="F757" s="389"/>
      <c r="G757" s="258"/>
      <c r="H757" s="258"/>
      <c r="I757" s="279"/>
      <c r="J757" s="279"/>
    </row>
    <row r="758" s="271" customFormat="1" spans="1:10">
      <c r="A758" s="288"/>
      <c r="B758" s="293"/>
      <c r="C758" s="390"/>
      <c r="D758" s="377"/>
      <c r="E758" s="20"/>
      <c r="F758" s="389"/>
      <c r="G758" s="258"/>
      <c r="H758" s="258"/>
      <c r="I758" s="279"/>
      <c r="J758" s="279"/>
    </row>
    <row r="759" s="271" customFormat="1" spans="1:10">
      <c r="A759" s="288"/>
      <c r="B759" s="293"/>
      <c r="C759" s="390"/>
      <c r="D759" s="377"/>
      <c r="E759" s="20"/>
      <c r="F759" s="389"/>
      <c r="G759" s="258"/>
      <c r="H759" s="258"/>
      <c r="I759" s="279"/>
      <c r="J759" s="279"/>
    </row>
    <row r="760" s="271" customFormat="1" spans="1:10">
      <c r="A760" s="288"/>
      <c r="B760" s="293"/>
      <c r="C760" s="390"/>
      <c r="D760" s="377"/>
      <c r="E760" s="29"/>
      <c r="F760" s="389"/>
      <c r="G760" s="258"/>
      <c r="H760" s="258"/>
      <c r="I760" s="279"/>
      <c r="J760" s="279"/>
    </row>
    <row r="761" s="271" customFormat="1" spans="1:10">
      <c r="A761" s="288"/>
      <c r="B761" s="293"/>
      <c r="C761" s="390"/>
      <c r="D761" s="377"/>
      <c r="E761" s="29"/>
      <c r="F761" s="389"/>
      <c r="G761" s="258"/>
      <c r="H761" s="258"/>
      <c r="I761" s="279"/>
      <c r="J761" s="279"/>
    </row>
    <row r="762" s="270" customFormat="1" spans="1:10">
      <c r="A762" s="288"/>
      <c r="B762" s="293"/>
      <c r="C762" s="390"/>
      <c r="D762" s="377"/>
      <c r="E762" s="391"/>
      <c r="F762" s="389"/>
      <c r="G762" s="258"/>
      <c r="H762" s="258"/>
      <c r="I762" s="279"/>
      <c r="J762" s="279"/>
    </row>
    <row r="763" s="270" customFormat="1" spans="1:10">
      <c r="A763" s="288"/>
      <c r="B763" s="98"/>
      <c r="C763" s="65"/>
      <c r="D763" s="377"/>
      <c r="E763" s="20"/>
      <c r="F763" s="168"/>
      <c r="G763" s="258"/>
      <c r="H763" s="258"/>
      <c r="I763" s="279"/>
      <c r="J763" s="279"/>
    </row>
    <row r="764" s="270" customFormat="1" spans="1:10">
      <c r="A764" s="288"/>
      <c r="B764" s="98"/>
      <c r="C764" s="65"/>
      <c r="D764" s="377"/>
      <c r="E764" s="20"/>
      <c r="F764" s="168"/>
      <c r="G764" s="258"/>
      <c r="H764" s="258"/>
      <c r="I764" s="279"/>
      <c r="J764" s="279"/>
    </row>
    <row r="765" s="270" customFormat="1" spans="1:10">
      <c r="A765" s="288"/>
      <c r="B765" s="314"/>
      <c r="C765" s="65"/>
      <c r="D765" s="377"/>
      <c r="E765" s="404"/>
      <c r="F765" s="168"/>
      <c r="G765" s="258"/>
      <c r="H765" s="258"/>
      <c r="I765" s="279"/>
      <c r="J765" s="279"/>
    </row>
    <row r="766" s="270" customFormat="1" spans="1:10">
      <c r="A766" s="288"/>
      <c r="B766" s="98"/>
      <c r="C766" s="65"/>
      <c r="D766" s="377"/>
      <c r="E766" s="20"/>
      <c r="F766" s="168"/>
      <c r="G766" s="258"/>
      <c r="H766" s="258"/>
      <c r="I766" s="279"/>
      <c r="J766" s="279"/>
    </row>
    <row r="767" s="270" customFormat="1" spans="1:10">
      <c r="A767" s="288"/>
      <c r="B767" s="98"/>
      <c r="C767" s="65"/>
      <c r="D767" s="377"/>
      <c r="E767" s="20"/>
      <c r="F767" s="168"/>
      <c r="G767" s="258"/>
      <c r="H767" s="258"/>
      <c r="I767" s="279"/>
      <c r="J767" s="279"/>
    </row>
    <row r="768" s="270" customFormat="1" spans="1:10">
      <c r="A768" s="288"/>
      <c r="B768" s="98"/>
      <c r="C768" s="65"/>
      <c r="D768" s="377"/>
      <c r="E768" s="20"/>
      <c r="F768" s="168"/>
      <c r="G768" s="258"/>
      <c r="H768" s="258"/>
      <c r="I768" s="279"/>
      <c r="J768" s="279"/>
    </row>
    <row r="769" s="270" customFormat="1" spans="1:10">
      <c r="A769" s="288"/>
      <c r="B769" s="98"/>
      <c r="C769" s="65"/>
      <c r="D769" s="377"/>
      <c r="E769" s="20"/>
      <c r="F769" s="168"/>
      <c r="G769" s="258"/>
      <c r="H769" s="258"/>
      <c r="I769" s="279"/>
      <c r="J769" s="279"/>
    </row>
    <row r="770" s="270" customFormat="1" spans="1:10">
      <c r="A770" s="288"/>
      <c r="B770" s="98"/>
      <c r="C770" s="390"/>
      <c r="D770" s="377"/>
      <c r="E770" s="20"/>
      <c r="F770" s="168"/>
      <c r="G770" s="258"/>
      <c r="H770" s="258"/>
      <c r="I770" s="279"/>
      <c r="J770" s="279"/>
    </row>
    <row r="771" s="270" customFormat="1" spans="1:10">
      <c r="A771" s="288"/>
      <c r="B771" s="98"/>
      <c r="C771" s="65"/>
      <c r="D771" s="377"/>
      <c r="E771" s="20"/>
      <c r="F771" s="168"/>
      <c r="G771" s="258"/>
      <c r="H771" s="258"/>
      <c r="I771" s="279"/>
      <c r="J771" s="279"/>
    </row>
    <row r="772" s="270" customFormat="1" spans="1:10">
      <c r="A772" s="288"/>
      <c r="B772" s="98"/>
      <c r="C772" s="65"/>
      <c r="D772" s="377"/>
      <c r="E772" s="20"/>
      <c r="F772" s="168"/>
      <c r="G772" s="258"/>
      <c r="H772" s="258"/>
      <c r="I772" s="279"/>
      <c r="J772" s="279"/>
    </row>
    <row r="773" s="270" customFormat="1" spans="1:10">
      <c r="A773" s="288"/>
      <c r="B773" s="98"/>
      <c r="C773" s="65"/>
      <c r="D773" s="377"/>
      <c r="E773" s="20"/>
      <c r="F773" s="168"/>
      <c r="G773" s="370"/>
      <c r="H773" s="258"/>
      <c r="I773" s="279"/>
      <c r="J773" s="279"/>
    </row>
    <row r="774" s="270" customFormat="1" spans="1:10">
      <c r="A774" s="288"/>
      <c r="B774" s="98"/>
      <c r="C774" s="65"/>
      <c r="D774" s="377"/>
      <c r="E774" s="20"/>
      <c r="F774" s="168"/>
      <c r="G774" s="370"/>
      <c r="H774" s="258"/>
      <c r="I774" s="279"/>
      <c r="J774" s="279"/>
    </row>
    <row r="775" s="270" customFormat="1" spans="1:10">
      <c r="A775" s="288"/>
      <c r="B775" s="98"/>
      <c r="C775" s="390"/>
      <c r="D775" s="377"/>
      <c r="E775" s="20"/>
      <c r="F775" s="168"/>
      <c r="G775" s="370"/>
      <c r="H775" s="258"/>
      <c r="I775" s="279"/>
      <c r="J775" s="279"/>
    </row>
    <row r="776" s="270" customFormat="1" spans="1:10">
      <c r="A776" s="288"/>
      <c r="B776" s="98"/>
      <c r="C776" s="65"/>
      <c r="D776" s="377"/>
      <c r="E776" s="20"/>
      <c r="F776" s="168"/>
      <c r="G776" s="370"/>
      <c r="H776" s="258"/>
      <c r="I776" s="279"/>
      <c r="J776" s="279"/>
    </row>
    <row r="777" s="270" customFormat="1" spans="1:10">
      <c r="A777" s="288"/>
      <c r="B777" s="98"/>
      <c r="C777" s="65"/>
      <c r="D777" s="377"/>
      <c r="E777" s="20"/>
      <c r="F777" s="168"/>
      <c r="G777" s="370"/>
      <c r="H777" s="258"/>
      <c r="I777" s="279"/>
      <c r="J777" s="279"/>
    </row>
    <row r="778" s="270" customFormat="1" spans="1:10">
      <c r="A778" s="288"/>
      <c r="B778" s="98"/>
      <c r="C778" s="65"/>
      <c r="D778" s="377"/>
      <c r="E778" s="20"/>
      <c r="F778" s="168"/>
      <c r="G778" s="370"/>
      <c r="H778" s="258"/>
      <c r="I778" s="279"/>
      <c r="J778" s="279"/>
    </row>
    <row r="779" s="270" customFormat="1" spans="1:10">
      <c r="A779" s="288"/>
      <c r="B779" s="98"/>
      <c r="C779" s="65"/>
      <c r="D779" s="377"/>
      <c r="E779" s="29"/>
      <c r="F779" s="62"/>
      <c r="G779" s="148"/>
      <c r="H779" s="148"/>
      <c r="I779" s="279"/>
      <c r="J779" s="279"/>
    </row>
    <row r="780" s="270" customFormat="1" spans="1:10">
      <c r="A780" s="288"/>
      <c r="B780" s="98"/>
      <c r="C780" s="65"/>
      <c r="D780" s="377"/>
      <c r="E780" s="29"/>
      <c r="F780" s="62"/>
      <c r="G780" s="148"/>
      <c r="H780" s="148"/>
      <c r="I780" s="279"/>
      <c r="J780" s="279"/>
    </row>
    <row r="781" s="270" customFormat="1" spans="1:10">
      <c r="A781" s="288"/>
      <c r="B781" s="98"/>
      <c r="C781" s="65"/>
      <c r="D781" s="377"/>
      <c r="E781" s="29"/>
      <c r="F781" s="62"/>
      <c r="G781" s="148"/>
      <c r="H781" s="148"/>
      <c r="I781" s="279"/>
      <c r="J781" s="279"/>
    </row>
    <row r="782" s="270" customFormat="1" spans="1:10">
      <c r="A782" s="288"/>
      <c r="B782" s="98"/>
      <c r="C782" s="65"/>
      <c r="D782" s="377"/>
      <c r="E782" s="29"/>
      <c r="F782" s="62"/>
      <c r="G782" s="148"/>
      <c r="H782" s="148"/>
      <c r="I782" s="279"/>
      <c r="J782" s="279"/>
    </row>
    <row r="783" s="270" customFormat="1" spans="1:10">
      <c r="A783" s="288"/>
      <c r="B783" s="98"/>
      <c r="C783" s="65"/>
      <c r="D783" s="377"/>
      <c r="E783" s="29"/>
      <c r="F783" s="62"/>
      <c r="G783" s="148"/>
      <c r="H783" s="148"/>
      <c r="I783" s="279"/>
      <c r="J783" s="279"/>
    </row>
    <row r="784" s="270" customFormat="1" spans="1:10">
      <c r="A784" s="288"/>
      <c r="B784" s="98"/>
      <c r="C784" s="65"/>
      <c r="D784" s="377"/>
      <c r="E784" s="29"/>
      <c r="F784" s="62"/>
      <c r="G784" s="148"/>
      <c r="H784" s="148"/>
      <c r="I784" s="279"/>
      <c r="J784" s="279"/>
    </row>
    <row r="785" s="270" customFormat="1" spans="1:10">
      <c r="A785" s="288"/>
      <c r="B785" s="98"/>
      <c r="C785" s="65"/>
      <c r="D785" s="377"/>
      <c r="E785" s="29"/>
      <c r="F785" s="62"/>
      <c r="G785" s="148"/>
      <c r="H785" s="148"/>
      <c r="I785" s="279"/>
      <c r="J785" s="279"/>
    </row>
    <row r="786" s="270" customFormat="1" spans="1:10">
      <c r="A786" s="288"/>
      <c r="B786" s="98"/>
      <c r="C786" s="65"/>
      <c r="D786" s="377"/>
      <c r="E786" s="29"/>
      <c r="F786" s="62"/>
      <c r="G786" s="148"/>
      <c r="H786" s="148"/>
      <c r="I786" s="279"/>
      <c r="J786" s="279"/>
    </row>
    <row r="787" s="270" customFormat="1" spans="1:10">
      <c r="A787" s="405"/>
      <c r="B787" s="274"/>
      <c r="C787" s="229"/>
      <c r="D787" s="275"/>
      <c r="E787" s="276"/>
      <c r="F787" s="277"/>
      <c r="G787" s="278"/>
      <c r="H787" s="278"/>
      <c r="I787" s="279"/>
      <c r="J787" s="279"/>
    </row>
    <row r="788" s="270" customFormat="1" spans="1:10">
      <c r="A788" s="405"/>
      <c r="B788" s="274"/>
      <c r="C788" s="229"/>
      <c r="D788" s="275"/>
      <c r="E788" s="276"/>
      <c r="F788" s="277"/>
      <c r="G788" s="278"/>
      <c r="H788" s="278"/>
      <c r="I788" s="279"/>
      <c r="J788" s="279"/>
    </row>
    <row r="789" s="270" customFormat="1" spans="1:10">
      <c r="A789" s="405"/>
      <c r="B789" s="274"/>
      <c r="C789" s="229"/>
      <c r="D789" s="275"/>
      <c r="E789" s="276"/>
      <c r="F789" s="277"/>
      <c r="G789" s="278"/>
      <c r="H789" s="278"/>
      <c r="I789" s="279"/>
      <c r="J789" s="279"/>
    </row>
    <row r="790" s="270" customFormat="1" spans="1:10">
      <c r="A790" s="405"/>
      <c r="B790" s="274"/>
      <c r="C790" s="229"/>
      <c r="D790" s="275"/>
      <c r="E790" s="276"/>
      <c r="F790" s="277"/>
      <c r="G790" s="278"/>
      <c r="H790" s="278"/>
      <c r="I790" s="279"/>
      <c r="J790" s="279"/>
    </row>
    <row r="791" s="270" customFormat="1" spans="1:10">
      <c r="A791" s="405"/>
      <c r="B791" s="274"/>
      <c r="C791" s="229"/>
      <c r="D791" s="275"/>
      <c r="E791" s="276"/>
      <c r="F791" s="277"/>
      <c r="G791" s="278"/>
      <c r="H791" s="278"/>
      <c r="I791" s="279"/>
      <c r="J791" s="279"/>
    </row>
    <row r="792" s="270" customFormat="1" spans="1:10">
      <c r="A792" s="405"/>
      <c r="B792" s="274"/>
      <c r="C792" s="229"/>
      <c r="D792" s="275"/>
      <c r="E792" s="276"/>
      <c r="F792" s="277"/>
      <c r="G792" s="278"/>
      <c r="H792" s="278"/>
      <c r="I792" s="279"/>
      <c r="J792" s="279"/>
    </row>
    <row r="793" s="270" customFormat="1" spans="1:10">
      <c r="A793" s="405"/>
      <c r="B793" s="274"/>
      <c r="C793" s="229"/>
      <c r="D793" s="275"/>
      <c r="E793" s="276"/>
      <c r="F793" s="277"/>
      <c r="G793" s="278"/>
      <c r="H793" s="278"/>
      <c r="I793" s="279"/>
      <c r="J793" s="279"/>
    </row>
    <row r="794" s="270" customFormat="1" spans="1:10">
      <c r="A794" s="405"/>
      <c r="B794" s="274"/>
      <c r="C794" s="229"/>
      <c r="D794" s="275"/>
      <c r="E794" s="276"/>
      <c r="F794" s="277"/>
      <c r="G794" s="278"/>
      <c r="H794" s="278"/>
      <c r="I794" s="279"/>
      <c r="J794" s="279"/>
    </row>
    <row r="795" s="270" customFormat="1" spans="1:10">
      <c r="A795" s="405"/>
      <c r="B795" s="274"/>
      <c r="C795" s="229"/>
      <c r="D795" s="275"/>
      <c r="E795" s="276"/>
      <c r="F795" s="277"/>
      <c r="G795" s="278"/>
      <c r="H795" s="278"/>
      <c r="I795" s="279"/>
      <c r="J795" s="279"/>
    </row>
    <row r="796" s="270" customFormat="1" spans="1:10">
      <c r="A796" s="405"/>
      <c r="B796" s="274"/>
      <c r="C796" s="229"/>
      <c r="D796" s="275"/>
      <c r="E796" s="276"/>
      <c r="F796" s="277"/>
      <c r="G796" s="278"/>
      <c r="H796" s="278"/>
      <c r="I796" s="279"/>
      <c r="J796" s="279"/>
    </row>
    <row r="797" s="270" customFormat="1" spans="1:10">
      <c r="A797" s="405"/>
      <c r="B797" s="274"/>
      <c r="C797" s="229"/>
      <c r="D797" s="275"/>
      <c r="E797" s="276"/>
      <c r="F797" s="277"/>
      <c r="G797" s="278"/>
      <c r="H797" s="278"/>
      <c r="I797" s="279"/>
      <c r="J797" s="279"/>
    </row>
    <row r="798" s="270" customFormat="1" spans="1:10">
      <c r="A798" s="405"/>
      <c r="B798" s="274"/>
      <c r="C798" s="229"/>
      <c r="D798" s="275"/>
      <c r="E798" s="276"/>
      <c r="F798" s="277"/>
      <c r="G798" s="278"/>
      <c r="H798" s="278"/>
      <c r="I798" s="279"/>
      <c r="J798" s="279"/>
    </row>
    <row r="799" s="270" customFormat="1" spans="1:10">
      <c r="A799" s="405"/>
      <c r="B799" s="274"/>
      <c r="C799" s="229"/>
      <c r="D799" s="275"/>
      <c r="E799" s="276"/>
      <c r="F799" s="277"/>
      <c r="G799" s="278"/>
      <c r="H799" s="278"/>
      <c r="I799" s="279"/>
      <c r="J799" s="279"/>
    </row>
    <row r="800" s="270" customFormat="1" spans="1:10">
      <c r="A800" s="405"/>
      <c r="B800" s="274"/>
      <c r="C800" s="229"/>
      <c r="D800" s="275"/>
      <c r="E800" s="276"/>
      <c r="F800" s="277"/>
      <c r="G800" s="278"/>
      <c r="H800" s="278"/>
      <c r="I800" s="279"/>
      <c r="J800" s="279"/>
    </row>
    <row r="801" s="270" customFormat="1" spans="1:10">
      <c r="A801" s="405"/>
      <c r="B801" s="274"/>
      <c r="C801" s="229"/>
      <c r="D801" s="275"/>
      <c r="E801" s="276"/>
      <c r="F801" s="277"/>
      <c r="G801" s="278"/>
      <c r="H801" s="278"/>
      <c r="I801" s="279"/>
      <c r="J801" s="279"/>
    </row>
    <row r="802" s="270" customFormat="1" spans="1:10">
      <c r="A802" s="405"/>
      <c r="B802" s="274"/>
      <c r="C802" s="229"/>
      <c r="D802" s="275"/>
      <c r="E802" s="276"/>
      <c r="F802" s="277"/>
      <c r="G802" s="278"/>
      <c r="H802" s="278"/>
      <c r="I802" s="279"/>
      <c r="J802" s="279"/>
    </row>
    <row r="803" s="270" customFormat="1" spans="1:10">
      <c r="A803" s="405"/>
      <c r="B803" s="274"/>
      <c r="C803" s="229"/>
      <c r="D803" s="275"/>
      <c r="E803" s="276"/>
      <c r="F803" s="277"/>
      <c r="G803" s="278"/>
      <c r="H803" s="278"/>
      <c r="I803" s="279"/>
      <c r="J803" s="279"/>
    </row>
    <row r="804" s="270" customFormat="1" spans="1:10">
      <c r="A804" s="405"/>
      <c r="B804" s="274"/>
      <c r="C804" s="229"/>
      <c r="D804" s="275"/>
      <c r="E804" s="276"/>
      <c r="F804" s="277"/>
      <c r="G804" s="278"/>
      <c r="H804" s="278"/>
      <c r="I804" s="279"/>
      <c r="J804" s="279"/>
    </row>
    <row r="805" s="270" customFormat="1" spans="1:10">
      <c r="A805" s="405"/>
      <c r="B805" s="274"/>
      <c r="C805" s="229"/>
      <c r="D805" s="275"/>
      <c r="E805" s="276"/>
      <c r="F805" s="277"/>
      <c r="G805" s="278"/>
      <c r="H805" s="278"/>
      <c r="I805" s="279"/>
      <c r="J805" s="279"/>
    </row>
    <row r="806" s="270" customFormat="1" spans="1:10">
      <c r="A806" s="405"/>
      <c r="B806" s="274"/>
      <c r="C806" s="229"/>
      <c r="D806" s="275"/>
      <c r="E806" s="276"/>
      <c r="F806" s="277"/>
      <c r="G806" s="278"/>
      <c r="H806" s="278"/>
      <c r="I806" s="279"/>
      <c r="J806" s="279"/>
    </row>
    <row r="807" s="270" customFormat="1" spans="1:10">
      <c r="A807" s="405"/>
      <c r="B807" s="274"/>
      <c r="C807" s="229"/>
      <c r="D807" s="275"/>
      <c r="E807" s="276"/>
      <c r="F807" s="277"/>
      <c r="G807" s="278"/>
      <c r="H807" s="278"/>
      <c r="I807" s="279"/>
      <c r="J807" s="279"/>
    </row>
    <row r="808" s="270" customFormat="1" spans="1:10">
      <c r="A808" s="405"/>
      <c r="B808" s="274"/>
      <c r="C808" s="229"/>
      <c r="D808" s="275"/>
      <c r="E808" s="276"/>
      <c r="F808" s="277"/>
      <c r="G808" s="278"/>
      <c r="H808" s="278"/>
      <c r="I808" s="279"/>
      <c r="J808" s="279"/>
    </row>
    <row r="809" s="270" customFormat="1" spans="1:10">
      <c r="A809" s="405"/>
      <c r="B809" s="274"/>
      <c r="C809" s="229"/>
      <c r="D809" s="275"/>
      <c r="E809" s="276"/>
      <c r="F809" s="277"/>
      <c r="G809" s="278"/>
      <c r="H809" s="278"/>
      <c r="I809" s="279"/>
      <c r="J809" s="279"/>
    </row>
    <row r="810" s="270" customFormat="1" spans="1:10">
      <c r="A810" s="405"/>
      <c r="B810" s="274"/>
      <c r="C810" s="229"/>
      <c r="D810" s="275"/>
      <c r="E810" s="276"/>
      <c r="F810" s="277"/>
      <c r="G810" s="278"/>
      <c r="H810" s="278"/>
      <c r="I810" s="279"/>
      <c r="J810" s="279"/>
    </row>
    <row r="811" s="270" customFormat="1" spans="1:10">
      <c r="A811" s="405"/>
      <c r="B811" s="274"/>
      <c r="C811" s="229"/>
      <c r="D811" s="275"/>
      <c r="E811" s="276"/>
      <c r="F811" s="277"/>
      <c r="G811" s="278"/>
      <c r="H811" s="278"/>
      <c r="I811" s="279"/>
      <c r="J811" s="279"/>
    </row>
    <row r="812" s="270" customFormat="1" spans="1:10">
      <c r="A812" s="405"/>
      <c r="B812" s="274"/>
      <c r="C812" s="229"/>
      <c r="D812" s="275"/>
      <c r="E812" s="276"/>
      <c r="F812" s="277"/>
      <c r="G812" s="278"/>
      <c r="H812" s="278"/>
      <c r="I812" s="279"/>
      <c r="J812" s="279"/>
    </row>
    <row r="813" s="270" customFormat="1" spans="1:10">
      <c r="A813" s="405"/>
      <c r="B813" s="274"/>
      <c r="C813" s="229"/>
      <c r="D813" s="275"/>
      <c r="E813" s="276"/>
      <c r="F813" s="277"/>
      <c r="G813" s="278"/>
      <c r="H813" s="278"/>
      <c r="I813" s="279"/>
      <c r="J813" s="279"/>
    </row>
    <row r="814" s="270" customFormat="1" spans="1:10">
      <c r="A814" s="405"/>
      <c r="B814" s="274"/>
      <c r="C814" s="229"/>
      <c r="D814" s="275"/>
      <c r="E814" s="276"/>
      <c r="F814" s="277"/>
      <c r="G814" s="278"/>
      <c r="H814" s="278"/>
      <c r="I814" s="279"/>
      <c r="J814" s="279"/>
    </row>
    <row r="815" s="270" customFormat="1" spans="1:10">
      <c r="A815" s="405"/>
      <c r="B815" s="274"/>
      <c r="C815" s="229"/>
      <c r="D815" s="275"/>
      <c r="E815" s="276"/>
      <c r="F815" s="277"/>
      <c r="G815" s="278"/>
      <c r="H815" s="278"/>
      <c r="I815" s="279"/>
      <c r="J815" s="279"/>
    </row>
    <row r="816" s="270" customFormat="1" spans="1:10">
      <c r="A816" s="405"/>
      <c r="B816" s="274"/>
      <c r="C816" s="229"/>
      <c r="D816" s="275"/>
      <c r="E816" s="276"/>
      <c r="F816" s="277"/>
      <c r="G816" s="278"/>
      <c r="H816" s="278"/>
      <c r="I816" s="279"/>
      <c r="J816" s="279"/>
    </row>
    <row r="817" s="270" customFormat="1" spans="1:10">
      <c r="A817" s="405"/>
      <c r="B817" s="274"/>
      <c r="C817" s="229"/>
      <c r="D817" s="275"/>
      <c r="E817" s="276"/>
      <c r="F817" s="277"/>
      <c r="G817" s="278"/>
      <c r="H817" s="278"/>
      <c r="I817" s="279"/>
      <c r="J817" s="279"/>
    </row>
    <row r="818" s="270" customFormat="1" spans="1:10">
      <c r="A818" s="405"/>
      <c r="B818" s="274"/>
      <c r="C818" s="229"/>
      <c r="D818" s="275"/>
      <c r="E818" s="276"/>
      <c r="F818" s="277"/>
      <c r="G818" s="278"/>
      <c r="H818" s="278"/>
      <c r="I818" s="279"/>
      <c r="J818" s="279"/>
    </row>
    <row r="819" s="270" customFormat="1" spans="1:10">
      <c r="A819" s="405"/>
      <c r="B819" s="274"/>
      <c r="C819" s="229"/>
      <c r="D819" s="275"/>
      <c r="E819" s="276"/>
      <c r="F819" s="277"/>
      <c r="G819" s="278"/>
      <c r="H819" s="278"/>
      <c r="I819" s="279"/>
      <c r="J819" s="279"/>
    </row>
    <row r="820" s="270" customFormat="1" spans="1:10">
      <c r="A820" s="405"/>
      <c r="B820" s="274"/>
      <c r="C820" s="229"/>
      <c r="D820" s="275"/>
      <c r="E820" s="276"/>
      <c r="F820" s="277"/>
      <c r="G820" s="278"/>
      <c r="H820" s="278"/>
      <c r="I820" s="279"/>
      <c r="J820" s="279"/>
    </row>
    <row r="821" s="270" customFormat="1" spans="1:10">
      <c r="A821" s="405"/>
      <c r="B821" s="274"/>
      <c r="C821" s="229"/>
      <c r="D821" s="275"/>
      <c r="E821" s="276"/>
      <c r="F821" s="277"/>
      <c r="G821" s="278"/>
      <c r="H821" s="278"/>
      <c r="I821" s="279"/>
      <c r="J821" s="279"/>
    </row>
    <row r="822" s="270" customFormat="1" spans="1:10">
      <c r="A822" s="405"/>
      <c r="B822" s="274"/>
      <c r="C822" s="229"/>
      <c r="D822" s="275"/>
      <c r="E822" s="276"/>
      <c r="F822" s="277"/>
      <c r="G822" s="278"/>
      <c r="H822" s="278"/>
      <c r="I822" s="279"/>
      <c r="J822" s="279"/>
    </row>
    <row r="823" s="270" customFormat="1" spans="1:10">
      <c r="A823" s="405"/>
      <c r="B823" s="274"/>
      <c r="C823" s="229"/>
      <c r="D823" s="275"/>
      <c r="E823" s="276"/>
      <c r="F823" s="277"/>
      <c r="G823" s="278"/>
      <c r="H823" s="278"/>
      <c r="I823" s="279"/>
      <c r="J823" s="279"/>
    </row>
    <row r="824" s="270" customFormat="1" spans="1:10">
      <c r="A824" s="405"/>
      <c r="B824" s="274"/>
      <c r="C824" s="229"/>
      <c r="D824" s="275"/>
      <c r="E824" s="276"/>
      <c r="F824" s="277"/>
      <c r="G824" s="278"/>
      <c r="H824" s="278"/>
      <c r="I824" s="279"/>
      <c r="J824" s="279"/>
    </row>
    <row r="825" s="270" customFormat="1" spans="1:10">
      <c r="A825" s="405"/>
      <c r="B825" s="274"/>
      <c r="C825" s="229"/>
      <c r="D825" s="275"/>
      <c r="E825" s="276"/>
      <c r="F825" s="277"/>
      <c r="G825" s="278"/>
      <c r="H825" s="278"/>
      <c r="I825" s="279"/>
      <c r="J825" s="279"/>
    </row>
    <row r="826" s="270" customFormat="1" spans="1:10">
      <c r="A826" s="405"/>
      <c r="B826" s="274"/>
      <c r="C826" s="229"/>
      <c r="D826" s="275"/>
      <c r="E826" s="276"/>
      <c r="F826" s="277"/>
      <c r="G826" s="278"/>
      <c r="H826" s="278"/>
      <c r="I826" s="279"/>
      <c r="J826" s="279"/>
    </row>
    <row r="827" s="270" customFormat="1" spans="1:10">
      <c r="A827" s="405"/>
      <c r="B827" s="274"/>
      <c r="C827" s="229"/>
      <c r="D827" s="275"/>
      <c r="E827" s="276"/>
      <c r="F827" s="277"/>
      <c r="G827" s="278"/>
      <c r="H827" s="278"/>
      <c r="I827" s="279"/>
      <c r="J827" s="279"/>
    </row>
    <row r="828" s="270" customFormat="1" spans="1:10">
      <c r="A828" s="405"/>
      <c r="B828" s="274"/>
      <c r="C828" s="229"/>
      <c r="D828" s="275"/>
      <c r="E828" s="276"/>
      <c r="F828" s="277"/>
      <c r="G828" s="278"/>
      <c r="H828" s="278"/>
      <c r="I828" s="279"/>
      <c r="J828" s="279"/>
    </row>
    <row r="829" s="270" customFormat="1" spans="1:10">
      <c r="A829" s="405"/>
      <c r="B829" s="274"/>
      <c r="C829" s="229"/>
      <c r="D829" s="275"/>
      <c r="E829" s="276"/>
      <c r="F829" s="277"/>
      <c r="G829" s="278"/>
      <c r="H829" s="278"/>
      <c r="I829" s="279"/>
      <c r="J829" s="279"/>
    </row>
    <row r="830" s="270" customFormat="1" spans="1:10">
      <c r="A830" s="405"/>
      <c r="B830" s="274"/>
      <c r="C830" s="229"/>
      <c r="D830" s="275"/>
      <c r="E830" s="276"/>
      <c r="F830" s="277"/>
      <c r="G830" s="278"/>
      <c r="H830" s="278"/>
      <c r="I830" s="279"/>
      <c r="J830" s="279"/>
    </row>
    <row r="831" s="270" customFormat="1" spans="1:10">
      <c r="A831" s="405"/>
      <c r="B831" s="274"/>
      <c r="C831" s="229"/>
      <c r="D831" s="275"/>
      <c r="E831" s="276"/>
      <c r="F831" s="277"/>
      <c r="G831" s="278"/>
      <c r="H831" s="278"/>
      <c r="I831" s="279"/>
      <c r="J831" s="279"/>
    </row>
    <row r="832" spans="1:1">
      <c r="A832" s="405"/>
    </row>
    <row r="833" spans="1:1">
      <c r="A833" s="405"/>
    </row>
    <row r="834" spans="1:1">
      <c r="A834" s="405"/>
    </row>
    <row r="835" spans="1:1">
      <c r="A835" s="405"/>
    </row>
    <row r="836" spans="1:1">
      <c r="A836" s="405"/>
    </row>
    <row r="837" spans="1:1">
      <c r="A837" s="405"/>
    </row>
    <row r="838" spans="1:1">
      <c r="A838" s="405"/>
    </row>
    <row r="839" spans="1:1">
      <c r="A839" s="405"/>
    </row>
    <row r="840" spans="1:1">
      <c r="A840" s="405"/>
    </row>
    <row r="841" spans="1:1">
      <c r="A841" s="405"/>
    </row>
    <row r="842" spans="1:1">
      <c r="A842" s="405"/>
    </row>
    <row r="843" spans="1:1">
      <c r="A843" s="405"/>
    </row>
    <row r="844" spans="1:1">
      <c r="A844" s="405"/>
    </row>
    <row r="845" spans="1:1">
      <c r="A845" s="405"/>
    </row>
    <row r="846" spans="1:1">
      <c r="A846" s="405"/>
    </row>
    <row r="847" spans="1:1">
      <c r="A847" s="405"/>
    </row>
    <row r="848" spans="1:1">
      <c r="A848" s="405"/>
    </row>
    <row r="849" spans="1:1">
      <c r="A849" s="405"/>
    </row>
    <row r="850" spans="1:1">
      <c r="A850" s="405"/>
    </row>
    <row r="851" spans="1:1">
      <c r="A851" s="405"/>
    </row>
    <row r="1048090" customFormat="1" ht="12.75" spans="1:10">
      <c r="A1048090" s="275"/>
      <c r="B1048090" s="275"/>
      <c r="C1048090" s="275"/>
      <c r="D1048090" s="275"/>
      <c r="E1048090" s="406"/>
      <c r="F1048090" s="407"/>
      <c r="G1048090" s="275"/>
      <c r="H1048090" s="275"/>
      <c r="I1048090" s="275"/>
      <c r="J1048090" s="275"/>
    </row>
    <row r="1048091" customFormat="1" ht="12.75" spans="1:10">
      <c r="A1048091" s="275"/>
      <c r="B1048091" s="275"/>
      <c r="C1048091" s="275"/>
      <c r="D1048091" s="275"/>
      <c r="E1048091" s="406"/>
      <c r="F1048091" s="407"/>
      <c r="G1048091" s="275"/>
      <c r="H1048091" s="275"/>
      <c r="I1048091" s="275"/>
      <c r="J1048091" s="275"/>
    </row>
    <row r="1048092" customFormat="1" ht="12.75" spans="1:10">
      <c r="A1048092" s="275"/>
      <c r="B1048092" s="275"/>
      <c r="C1048092" s="275"/>
      <c r="D1048092" s="275"/>
      <c r="E1048092" s="406"/>
      <c r="F1048092" s="407"/>
      <c r="G1048092" s="275"/>
      <c r="H1048092" s="275"/>
      <c r="I1048092" s="275"/>
      <c r="J1048092" s="275"/>
    </row>
    <row r="1048093" customFormat="1" ht="12.75" spans="1:10">
      <c r="A1048093" s="275"/>
      <c r="B1048093" s="275"/>
      <c r="C1048093" s="275"/>
      <c r="D1048093" s="275"/>
      <c r="E1048093" s="406"/>
      <c r="F1048093" s="407"/>
      <c r="G1048093" s="275"/>
      <c r="H1048093" s="275"/>
      <c r="I1048093" s="275"/>
      <c r="J1048093" s="275"/>
    </row>
    <row r="1048094" customFormat="1" ht="12.75" spans="1:10">
      <c r="A1048094" s="275"/>
      <c r="B1048094" s="275"/>
      <c r="C1048094" s="275"/>
      <c r="D1048094" s="275"/>
      <c r="E1048094" s="406"/>
      <c r="F1048094" s="407"/>
      <c r="G1048094" s="275"/>
      <c r="H1048094" s="275"/>
      <c r="I1048094" s="275"/>
      <c r="J1048094" s="275"/>
    </row>
    <row r="1048095" customFormat="1" ht="12.75" spans="1:10">
      <c r="A1048095" s="275"/>
      <c r="B1048095" s="275"/>
      <c r="C1048095" s="275"/>
      <c r="D1048095" s="275"/>
      <c r="E1048095" s="406"/>
      <c r="F1048095" s="407"/>
      <c r="G1048095" s="275"/>
      <c r="H1048095" s="275"/>
      <c r="I1048095" s="275"/>
      <c r="J1048095" s="275"/>
    </row>
    <row r="1048096" customFormat="1" ht="12.75" spans="1:10">
      <c r="A1048096" s="275"/>
      <c r="B1048096" s="275"/>
      <c r="C1048096" s="275"/>
      <c r="D1048096" s="275"/>
      <c r="E1048096" s="406"/>
      <c r="F1048096" s="407"/>
      <c r="G1048096" s="275"/>
      <c r="H1048096" s="275"/>
      <c r="I1048096" s="275"/>
      <c r="J1048096" s="275"/>
    </row>
    <row r="1048097" customFormat="1" ht="12.75" spans="1:10">
      <c r="A1048097" s="275"/>
      <c r="B1048097" s="275"/>
      <c r="C1048097" s="275"/>
      <c r="D1048097" s="275"/>
      <c r="E1048097" s="406"/>
      <c r="F1048097" s="407"/>
      <c r="G1048097" s="275"/>
      <c r="H1048097" s="275"/>
      <c r="I1048097" s="275"/>
      <c r="J1048097" s="275"/>
    </row>
    <row r="1048098" customFormat="1" ht="12.75" spans="1:10">
      <c r="A1048098" s="275"/>
      <c r="B1048098" s="275"/>
      <c r="C1048098" s="275"/>
      <c r="D1048098" s="275"/>
      <c r="E1048098" s="406"/>
      <c r="F1048098" s="407"/>
      <c r="G1048098" s="275"/>
      <c r="H1048098" s="275"/>
      <c r="I1048098" s="275"/>
      <c r="J1048098" s="275"/>
    </row>
    <row r="1048099" customFormat="1" ht="12.75" spans="1:10">
      <c r="A1048099" s="275"/>
      <c r="B1048099" s="275"/>
      <c r="C1048099" s="275"/>
      <c r="D1048099" s="275"/>
      <c r="E1048099" s="406"/>
      <c r="F1048099" s="407"/>
      <c r="G1048099" s="275"/>
      <c r="H1048099" s="275"/>
      <c r="I1048099" s="275"/>
      <c r="J1048099" s="275"/>
    </row>
    <row r="1048100" customFormat="1" ht="12.75" spans="1:10">
      <c r="A1048100" s="275"/>
      <c r="B1048100" s="275"/>
      <c r="C1048100" s="275"/>
      <c r="D1048100" s="275"/>
      <c r="E1048100" s="406"/>
      <c r="F1048100" s="407"/>
      <c r="G1048100" s="275"/>
      <c r="H1048100" s="275"/>
      <c r="I1048100" s="275"/>
      <c r="J1048100" s="275"/>
    </row>
    <row r="1048101" customFormat="1" ht="12.75" spans="1:10">
      <c r="A1048101" s="275"/>
      <c r="B1048101" s="275"/>
      <c r="C1048101" s="275"/>
      <c r="D1048101" s="275"/>
      <c r="E1048101" s="406"/>
      <c r="F1048101" s="407"/>
      <c r="G1048101" s="275"/>
      <c r="H1048101" s="275"/>
      <c r="I1048101" s="275"/>
      <c r="J1048101" s="275"/>
    </row>
    <row r="1048102" customFormat="1" ht="12.75" spans="1:10">
      <c r="A1048102" s="275"/>
      <c r="B1048102" s="275"/>
      <c r="C1048102" s="275"/>
      <c r="D1048102" s="275"/>
      <c r="E1048102" s="406"/>
      <c r="F1048102" s="407"/>
      <c r="G1048102" s="275"/>
      <c r="H1048102" s="275"/>
      <c r="I1048102" s="275"/>
      <c r="J1048102" s="275"/>
    </row>
    <row r="1048103" customFormat="1" ht="12.75" spans="1:10">
      <c r="A1048103" s="275"/>
      <c r="B1048103" s="275"/>
      <c r="C1048103" s="275"/>
      <c r="D1048103" s="275"/>
      <c r="E1048103" s="406"/>
      <c r="F1048103" s="407"/>
      <c r="G1048103" s="275"/>
      <c r="H1048103" s="275"/>
      <c r="I1048103" s="275"/>
      <c r="J1048103" s="275"/>
    </row>
    <row r="1048104" customFormat="1" ht="12.75" spans="1:10">
      <c r="A1048104" s="275"/>
      <c r="B1048104" s="275"/>
      <c r="C1048104" s="275"/>
      <c r="D1048104" s="275"/>
      <c r="E1048104" s="406"/>
      <c r="F1048104" s="407"/>
      <c r="G1048104" s="275"/>
      <c r="H1048104" s="275"/>
      <c r="I1048104" s="275"/>
      <c r="J1048104" s="275"/>
    </row>
    <row r="1048105" customFormat="1" ht="12.75" spans="1:10">
      <c r="A1048105" s="275"/>
      <c r="B1048105" s="275"/>
      <c r="C1048105" s="275"/>
      <c r="D1048105" s="275"/>
      <c r="E1048105" s="406"/>
      <c r="F1048105" s="407"/>
      <c r="G1048105" s="275"/>
      <c r="H1048105" s="275"/>
      <c r="I1048105" s="275"/>
      <c r="J1048105" s="275"/>
    </row>
    <row r="1048106" customFormat="1" ht="12.75" spans="1:10">
      <c r="A1048106" s="275"/>
      <c r="B1048106" s="275"/>
      <c r="C1048106" s="275"/>
      <c r="D1048106" s="275"/>
      <c r="E1048106" s="406"/>
      <c r="F1048106" s="407"/>
      <c r="G1048106" s="275"/>
      <c r="H1048106" s="275"/>
      <c r="I1048106" s="275"/>
      <c r="J1048106" s="275"/>
    </row>
    <row r="1048107" customFormat="1" ht="12.75" spans="1:10">
      <c r="A1048107" s="275"/>
      <c r="B1048107" s="275"/>
      <c r="C1048107" s="275"/>
      <c r="D1048107" s="275"/>
      <c r="E1048107" s="406"/>
      <c r="F1048107" s="407"/>
      <c r="G1048107" s="275"/>
      <c r="H1048107" s="275"/>
      <c r="I1048107" s="275"/>
      <c r="J1048107" s="275"/>
    </row>
    <row r="1048108" customFormat="1" ht="12.75" spans="1:10">
      <c r="A1048108" s="275"/>
      <c r="B1048108" s="275"/>
      <c r="C1048108" s="275"/>
      <c r="D1048108" s="275"/>
      <c r="E1048108" s="406"/>
      <c r="F1048108" s="407"/>
      <c r="G1048108" s="275"/>
      <c r="H1048108" s="275"/>
      <c r="I1048108" s="275"/>
      <c r="J1048108" s="275"/>
    </row>
    <row r="1048109" customFormat="1" ht="12.75" spans="1:10">
      <c r="A1048109" s="275"/>
      <c r="B1048109" s="275"/>
      <c r="C1048109" s="275"/>
      <c r="D1048109" s="275"/>
      <c r="E1048109" s="406"/>
      <c r="F1048109" s="407"/>
      <c r="G1048109" s="275"/>
      <c r="H1048109" s="275"/>
      <c r="I1048109" s="275"/>
      <c r="J1048109" s="275"/>
    </row>
    <row r="1048110" customFormat="1" ht="12.75" spans="1:10">
      <c r="A1048110" s="275"/>
      <c r="B1048110" s="275"/>
      <c r="C1048110" s="275"/>
      <c r="D1048110" s="275"/>
      <c r="E1048110" s="406"/>
      <c r="F1048110" s="407"/>
      <c r="G1048110" s="275"/>
      <c r="H1048110" s="275"/>
      <c r="I1048110" s="275"/>
      <c r="J1048110" s="275"/>
    </row>
    <row r="1048111" customFormat="1" ht="12.75" spans="1:10">
      <c r="A1048111" s="275"/>
      <c r="B1048111" s="275"/>
      <c r="C1048111" s="275"/>
      <c r="D1048111" s="275"/>
      <c r="E1048111" s="406"/>
      <c r="F1048111" s="407"/>
      <c r="G1048111" s="275"/>
      <c r="H1048111" s="275"/>
      <c r="I1048111" s="275"/>
      <c r="J1048111" s="275"/>
    </row>
    <row r="1048112" customFormat="1" ht="12.75" spans="1:10">
      <c r="A1048112" s="275"/>
      <c r="B1048112" s="275"/>
      <c r="C1048112" s="275"/>
      <c r="D1048112" s="275"/>
      <c r="E1048112" s="406"/>
      <c r="F1048112" s="407"/>
      <c r="G1048112" s="275"/>
      <c r="H1048112" s="275"/>
      <c r="I1048112" s="275"/>
      <c r="J1048112" s="275"/>
    </row>
    <row r="1048113" customFormat="1" ht="12.75" spans="1:10">
      <c r="A1048113" s="275"/>
      <c r="B1048113" s="275"/>
      <c r="C1048113" s="275"/>
      <c r="D1048113" s="275"/>
      <c r="E1048113" s="406"/>
      <c r="F1048113" s="407"/>
      <c r="G1048113" s="275"/>
      <c r="H1048113" s="275"/>
      <c r="I1048113" s="275"/>
      <c r="J1048113" s="275"/>
    </row>
    <row r="1048114" customFormat="1" ht="12.75" spans="1:10">
      <c r="A1048114" s="275"/>
      <c r="B1048114" s="275"/>
      <c r="C1048114" s="275"/>
      <c r="D1048114" s="275"/>
      <c r="E1048114" s="406"/>
      <c r="F1048114" s="407"/>
      <c r="G1048114" s="275"/>
      <c r="H1048114" s="275"/>
      <c r="I1048114" s="275"/>
      <c r="J1048114" s="275"/>
    </row>
    <row r="1048115" customFormat="1" ht="12.75" spans="1:10">
      <c r="A1048115" s="275"/>
      <c r="B1048115" s="275"/>
      <c r="C1048115" s="275"/>
      <c r="D1048115" s="275"/>
      <c r="E1048115" s="406"/>
      <c r="F1048115" s="407"/>
      <c r="G1048115" s="275"/>
      <c r="H1048115" s="275"/>
      <c r="I1048115" s="275"/>
      <c r="J1048115" s="275"/>
    </row>
    <row r="1048116" customFormat="1" ht="12.75" spans="1:10">
      <c r="A1048116" s="275"/>
      <c r="B1048116" s="275"/>
      <c r="C1048116" s="275"/>
      <c r="D1048116" s="275"/>
      <c r="E1048116" s="406"/>
      <c r="F1048116" s="407"/>
      <c r="G1048116" s="275"/>
      <c r="H1048116" s="275"/>
      <c r="I1048116" s="275"/>
      <c r="J1048116" s="275"/>
    </row>
    <row r="1048117" customFormat="1" ht="12.75" spans="1:10">
      <c r="A1048117" s="275"/>
      <c r="B1048117" s="275"/>
      <c r="C1048117" s="275"/>
      <c r="D1048117" s="275"/>
      <c r="E1048117" s="406"/>
      <c r="F1048117" s="407"/>
      <c r="G1048117" s="275"/>
      <c r="H1048117" s="275"/>
      <c r="I1048117" s="275"/>
      <c r="J1048117" s="275"/>
    </row>
    <row r="1048118" customFormat="1" ht="12.75" spans="1:10">
      <c r="A1048118" s="275"/>
      <c r="B1048118" s="275"/>
      <c r="C1048118" s="275"/>
      <c r="D1048118" s="275"/>
      <c r="E1048118" s="406"/>
      <c r="F1048118" s="407"/>
      <c r="G1048118" s="275"/>
      <c r="H1048118" s="275"/>
      <c r="I1048118" s="275"/>
      <c r="J1048118" s="275"/>
    </row>
    <row r="1048119" customFormat="1" ht="12.75" spans="1:10">
      <c r="A1048119" s="275"/>
      <c r="B1048119" s="275"/>
      <c r="C1048119" s="275"/>
      <c r="D1048119" s="275"/>
      <c r="E1048119" s="406"/>
      <c r="F1048119" s="407"/>
      <c r="G1048119" s="275"/>
      <c r="H1048119" s="275"/>
      <c r="I1048119" s="275"/>
      <c r="J1048119" s="275"/>
    </row>
    <row r="1048120" customFormat="1" ht="12.75" spans="1:10">
      <c r="A1048120" s="275"/>
      <c r="B1048120" s="275"/>
      <c r="C1048120" s="275"/>
      <c r="D1048120" s="275"/>
      <c r="E1048120" s="406"/>
      <c r="F1048120" s="407"/>
      <c r="G1048120" s="275"/>
      <c r="H1048120" s="275"/>
      <c r="I1048120" s="275"/>
      <c r="J1048120" s="275"/>
    </row>
    <row r="1048121" customFormat="1" ht="12.75" spans="1:10">
      <c r="A1048121" s="275"/>
      <c r="B1048121" s="275"/>
      <c r="C1048121" s="275"/>
      <c r="D1048121" s="275"/>
      <c r="E1048121" s="406"/>
      <c r="F1048121" s="407"/>
      <c r="G1048121" s="275"/>
      <c r="H1048121" s="275"/>
      <c r="I1048121" s="275"/>
      <c r="J1048121" s="275"/>
    </row>
    <row r="1048122" customFormat="1" ht="12.75" spans="1:10">
      <c r="A1048122" s="275"/>
      <c r="B1048122" s="275"/>
      <c r="C1048122" s="275"/>
      <c r="D1048122" s="275"/>
      <c r="E1048122" s="406"/>
      <c r="F1048122" s="407"/>
      <c r="G1048122" s="275"/>
      <c r="H1048122" s="275"/>
      <c r="I1048122" s="275"/>
      <c r="J1048122" s="275"/>
    </row>
    <row r="1048123" customFormat="1" ht="12.75" spans="1:10">
      <c r="A1048123" s="275"/>
      <c r="B1048123" s="275"/>
      <c r="C1048123" s="275"/>
      <c r="D1048123" s="275"/>
      <c r="E1048123" s="406"/>
      <c r="F1048123" s="407"/>
      <c r="G1048123" s="275"/>
      <c r="H1048123" s="275"/>
      <c r="I1048123" s="275"/>
      <c r="J1048123" s="275"/>
    </row>
    <row r="1048124" customFormat="1" ht="12.75" spans="1:10">
      <c r="A1048124" s="275"/>
      <c r="B1048124" s="275"/>
      <c r="C1048124" s="275"/>
      <c r="D1048124" s="275"/>
      <c r="E1048124" s="406"/>
      <c r="F1048124" s="407"/>
      <c r="G1048124" s="275"/>
      <c r="H1048124" s="275"/>
      <c r="I1048124" s="275"/>
      <c r="J1048124" s="275"/>
    </row>
    <row r="1048125" customFormat="1" ht="12.75" spans="1:10">
      <c r="A1048125" s="275"/>
      <c r="B1048125" s="275"/>
      <c r="C1048125" s="275"/>
      <c r="D1048125" s="275"/>
      <c r="E1048125" s="406"/>
      <c r="F1048125" s="407"/>
      <c r="G1048125" s="275"/>
      <c r="H1048125" s="275"/>
      <c r="I1048125" s="275"/>
      <c r="J1048125" s="275"/>
    </row>
    <row r="1048126" customFormat="1" ht="12.75" spans="1:10">
      <c r="A1048126" s="275"/>
      <c r="B1048126" s="275"/>
      <c r="C1048126" s="275"/>
      <c r="D1048126" s="275"/>
      <c r="E1048126" s="406"/>
      <c r="F1048126" s="407"/>
      <c r="G1048126" s="275"/>
      <c r="H1048126" s="275"/>
      <c r="I1048126" s="275"/>
      <c r="J1048126" s="275"/>
    </row>
    <row r="1048127" customFormat="1" ht="12.75" spans="1:10">
      <c r="A1048127" s="275"/>
      <c r="B1048127" s="275"/>
      <c r="C1048127" s="275"/>
      <c r="D1048127" s="275"/>
      <c r="E1048127" s="406"/>
      <c r="F1048127" s="407"/>
      <c r="G1048127" s="275"/>
      <c r="H1048127" s="275"/>
      <c r="I1048127" s="275"/>
      <c r="J1048127" s="275"/>
    </row>
    <row r="1048128" customFormat="1" ht="12.75" spans="1:10">
      <c r="A1048128" s="275"/>
      <c r="B1048128" s="275"/>
      <c r="C1048128" s="275"/>
      <c r="D1048128" s="275"/>
      <c r="E1048128" s="406"/>
      <c r="F1048128" s="407"/>
      <c r="G1048128" s="275"/>
      <c r="H1048128" s="275"/>
      <c r="I1048128" s="275"/>
      <c r="J1048128" s="275"/>
    </row>
    <row r="1048129" customFormat="1" ht="12.75" spans="1:10">
      <c r="A1048129" s="275"/>
      <c r="B1048129" s="275"/>
      <c r="C1048129" s="275"/>
      <c r="D1048129" s="275"/>
      <c r="E1048129" s="406"/>
      <c r="F1048129" s="407"/>
      <c r="G1048129" s="275"/>
      <c r="H1048129" s="275"/>
      <c r="I1048129" s="275"/>
      <c r="J1048129" s="275"/>
    </row>
    <row r="1048130" customFormat="1" ht="12.75" spans="1:10">
      <c r="A1048130" s="275"/>
      <c r="B1048130" s="275"/>
      <c r="C1048130" s="275"/>
      <c r="D1048130" s="275"/>
      <c r="E1048130" s="406"/>
      <c r="F1048130" s="407"/>
      <c r="G1048130" s="275"/>
      <c r="H1048130" s="275"/>
      <c r="I1048130" s="275"/>
      <c r="J1048130" s="275"/>
    </row>
    <row r="1048131" customFormat="1" ht="12.75" spans="1:10">
      <c r="A1048131" s="275"/>
      <c r="B1048131" s="275"/>
      <c r="C1048131" s="275"/>
      <c r="D1048131" s="275"/>
      <c r="E1048131" s="406"/>
      <c r="F1048131" s="407"/>
      <c r="G1048131" s="275"/>
      <c r="H1048131" s="275"/>
      <c r="I1048131" s="275"/>
      <c r="J1048131" s="275"/>
    </row>
    <row r="1048132" customFormat="1" ht="12.75" spans="1:10">
      <c r="A1048132" s="275"/>
      <c r="B1048132" s="275"/>
      <c r="C1048132" s="275"/>
      <c r="D1048132" s="275"/>
      <c r="E1048132" s="406"/>
      <c r="F1048132" s="407"/>
      <c r="G1048132" s="275"/>
      <c r="H1048132" s="275"/>
      <c r="I1048132" s="275"/>
      <c r="J1048132" s="275"/>
    </row>
    <row r="1048133" customFormat="1" ht="12.75" spans="1:10">
      <c r="A1048133" s="275"/>
      <c r="B1048133" s="275"/>
      <c r="C1048133" s="275"/>
      <c r="D1048133" s="275"/>
      <c r="E1048133" s="406"/>
      <c r="F1048133" s="407"/>
      <c r="G1048133" s="275"/>
      <c r="H1048133" s="275"/>
      <c r="I1048133" s="275"/>
      <c r="J1048133" s="275"/>
    </row>
    <row r="1048134" customFormat="1" ht="12.75" spans="1:10">
      <c r="A1048134" s="275"/>
      <c r="B1048134" s="275"/>
      <c r="C1048134" s="275"/>
      <c r="D1048134" s="275"/>
      <c r="E1048134" s="406"/>
      <c r="F1048134" s="407"/>
      <c r="G1048134" s="275"/>
      <c r="H1048134" s="275"/>
      <c r="I1048134" s="275"/>
      <c r="J1048134" s="275"/>
    </row>
    <row r="1048135" customFormat="1" ht="12.75" spans="1:10">
      <c r="A1048135" s="275"/>
      <c r="B1048135" s="275"/>
      <c r="C1048135" s="275"/>
      <c r="D1048135" s="275"/>
      <c r="E1048135" s="406"/>
      <c r="F1048135" s="407"/>
      <c r="G1048135" s="275"/>
      <c r="H1048135" s="275"/>
      <c r="I1048135" s="275"/>
      <c r="J1048135" s="275"/>
    </row>
    <row r="1048136" customFormat="1" ht="12.75" spans="1:10">
      <c r="A1048136" s="275"/>
      <c r="B1048136" s="275"/>
      <c r="C1048136" s="275"/>
      <c r="D1048136" s="275"/>
      <c r="E1048136" s="406"/>
      <c r="F1048136" s="407"/>
      <c r="G1048136" s="275"/>
      <c r="H1048136" s="275"/>
      <c r="I1048136" s="275"/>
      <c r="J1048136" s="275"/>
    </row>
    <row r="1048137" customFormat="1" ht="12.75" spans="1:10">
      <c r="A1048137" s="275"/>
      <c r="B1048137" s="275"/>
      <c r="C1048137" s="275"/>
      <c r="D1048137" s="275"/>
      <c r="E1048137" s="406"/>
      <c r="F1048137" s="407"/>
      <c r="G1048137" s="275"/>
      <c r="H1048137" s="275"/>
      <c r="I1048137" s="275"/>
      <c r="J1048137" s="275"/>
    </row>
    <row r="1048138" customFormat="1" ht="12.75" spans="1:10">
      <c r="A1048138" s="275"/>
      <c r="B1048138" s="275"/>
      <c r="C1048138" s="275"/>
      <c r="D1048138" s="275"/>
      <c r="E1048138" s="406"/>
      <c r="F1048138" s="407"/>
      <c r="G1048138" s="275"/>
      <c r="H1048138" s="275"/>
      <c r="I1048138" s="275"/>
      <c r="J1048138" s="275"/>
    </row>
    <row r="1048139" customFormat="1" ht="12.75" spans="1:10">
      <c r="A1048139" s="275"/>
      <c r="B1048139" s="275"/>
      <c r="C1048139" s="275"/>
      <c r="D1048139" s="275"/>
      <c r="E1048139" s="406"/>
      <c r="F1048139" s="407"/>
      <c r="G1048139" s="275"/>
      <c r="H1048139" s="275"/>
      <c r="I1048139" s="275"/>
      <c r="J1048139" s="275"/>
    </row>
    <row r="1048140" customFormat="1" ht="12.75" spans="1:10">
      <c r="A1048140" s="275"/>
      <c r="B1048140" s="275"/>
      <c r="C1048140" s="275"/>
      <c r="D1048140" s="275"/>
      <c r="E1048140" s="406"/>
      <c r="F1048140" s="407"/>
      <c r="G1048140" s="275"/>
      <c r="H1048140" s="275"/>
      <c r="I1048140" s="275"/>
      <c r="J1048140" s="275"/>
    </row>
    <row r="1048141" customFormat="1" ht="12.75" spans="1:10">
      <c r="A1048141" s="275"/>
      <c r="B1048141" s="275"/>
      <c r="C1048141" s="275"/>
      <c r="D1048141" s="275"/>
      <c r="E1048141" s="406"/>
      <c r="F1048141" s="407"/>
      <c r="G1048141" s="275"/>
      <c r="H1048141" s="275"/>
      <c r="I1048141" s="275"/>
      <c r="J1048141" s="275"/>
    </row>
    <row r="1048142" customFormat="1" ht="12.75" spans="1:10">
      <c r="A1048142" s="275"/>
      <c r="B1048142" s="275"/>
      <c r="C1048142" s="275"/>
      <c r="D1048142" s="275"/>
      <c r="E1048142" s="406"/>
      <c r="F1048142" s="407"/>
      <c r="G1048142" s="275"/>
      <c r="H1048142" s="275"/>
      <c r="I1048142" s="275"/>
      <c r="J1048142" s="275"/>
    </row>
    <row r="1048143" customFormat="1" ht="12.75" spans="1:10">
      <c r="A1048143" s="275"/>
      <c r="B1048143" s="275"/>
      <c r="C1048143" s="275"/>
      <c r="D1048143" s="275"/>
      <c r="E1048143" s="406"/>
      <c r="F1048143" s="407"/>
      <c r="G1048143" s="275"/>
      <c r="H1048143" s="275"/>
      <c r="I1048143" s="275"/>
      <c r="J1048143" s="275"/>
    </row>
    <row r="1048144" customFormat="1" ht="12.75" spans="1:10">
      <c r="A1048144" s="275"/>
      <c r="B1048144" s="275"/>
      <c r="C1048144" s="275"/>
      <c r="D1048144" s="275"/>
      <c r="E1048144" s="406"/>
      <c r="F1048144" s="407"/>
      <c r="G1048144" s="275"/>
      <c r="H1048144" s="275"/>
      <c r="I1048144" s="275"/>
      <c r="J1048144" s="275"/>
    </row>
    <row r="1048145" customFormat="1" ht="12.75" spans="1:10">
      <c r="A1048145" s="275"/>
      <c r="B1048145" s="275"/>
      <c r="C1048145" s="275"/>
      <c r="D1048145" s="275"/>
      <c r="E1048145" s="406"/>
      <c r="F1048145" s="407"/>
      <c r="G1048145" s="275"/>
      <c r="H1048145" s="275"/>
      <c r="I1048145" s="275"/>
      <c r="J1048145" s="275"/>
    </row>
    <row r="1048146" customFormat="1" ht="12.75" spans="1:10">
      <c r="A1048146" s="275"/>
      <c r="B1048146" s="275"/>
      <c r="C1048146" s="275"/>
      <c r="D1048146" s="275"/>
      <c r="E1048146" s="406"/>
      <c r="F1048146" s="407"/>
      <c r="G1048146" s="275"/>
      <c r="H1048146" s="275"/>
      <c r="I1048146" s="275"/>
      <c r="J1048146" s="275"/>
    </row>
    <row r="1048147" customFormat="1" ht="12.75" spans="1:10">
      <c r="A1048147" s="275"/>
      <c r="B1048147" s="275"/>
      <c r="C1048147" s="275"/>
      <c r="D1048147" s="275"/>
      <c r="E1048147" s="406"/>
      <c r="F1048147" s="407"/>
      <c r="G1048147" s="275"/>
      <c r="H1048147" s="275"/>
      <c r="I1048147" s="275"/>
      <c r="J1048147" s="275"/>
    </row>
    <row r="1048148" customFormat="1" ht="12.75" spans="1:10">
      <c r="A1048148" s="275"/>
      <c r="B1048148" s="275"/>
      <c r="C1048148" s="275"/>
      <c r="D1048148" s="275"/>
      <c r="E1048148" s="406"/>
      <c r="F1048148" s="407"/>
      <c r="G1048148" s="275"/>
      <c r="H1048148" s="275"/>
      <c r="I1048148" s="275"/>
      <c r="J1048148" s="275"/>
    </row>
    <row r="1048149" customFormat="1" ht="12.75" spans="1:10">
      <c r="A1048149" s="275"/>
      <c r="B1048149" s="275"/>
      <c r="C1048149" s="275"/>
      <c r="D1048149" s="275"/>
      <c r="E1048149" s="406"/>
      <c r="F1048149" s="407"/>
      <c r="G1048149" s="275"/>
      <c r="H1048149" s="275"/>
      <c r="I1048149" s="275"/>
      <c r="J1048149" s="275"/>
    </row>
    <row r="1048150" customFormat="1" ht="12.75" spans="1:10">
      <c r="A1048150" s="275"/>
      <c r="B1048150" s="275"/>
      <c r="C1048150" s="275"/>
      <c r="D1048150" s="275"/>
      <c r="E1048150" s="406"/>
      <c r="F1048150" s="407"/>
      <c r="G1048150" s="275"/>
      <c r="H1048150" s="275"/>
      <c r="I1048150" s="275"/>
      <c r="J1048150" s="275"/>
    </row>
    <row r="1048151" customFormat="1" ht="12.75" spans="1:10">
      <c r="A1048151" s="275"/>
      <c r="B1048151" s="275"/>
      <c r="C1048151" s="275"/>
      <c r="D1048151" s="275"/>
      <c r="E1048151" s="406"/>
      <c r="F1048151" s="407"/>
      <c r="G1048151" s="275"/>
      <c r="H1048151" s="275"/>
      <c r="I1048151" s="275"/>
      <c r="J1048151" s="275"/>
    </row>
    <row r="1048152" customFormat="1" ht="12.75" spans="1:10">
      <c r="A1048152" s="275"/>
      <c r="B1048152" s="275"/>
      <c r="C1048152" s="275"/>
      <c r="D1048152" s="275"/>
      <c r="E1048152" s="406"/>
      <c r="F1048152" s="407"/>
      <c r="G1048152" s="275"/>
      <c r="H1048152" s="275"/>
      <c r="I1048152" s="275"/>
      <c r="J1048152" s="275"/>
    </row>
    <row r="1048153" customFormat="1" ht="12.75" spans="1:10">
      <c r="A1048153" s="275"/>
      <c r="B1048153" s="275"/>
      <c r="C1048153" s="275"/>
      <c r="D1048153" s="275"/>
      <c r="E1048153" s="406"/>
      <c r="F1048153" s="407"/>
      <c r="G1048153" s="275"/>
      <c r="H1048153" s="275"/>
      <c r="I1048153" s="275"/>
      <c r="J1048153" s="275"/>
    </row>
    <row r="1048154" customFormat="1" ht="12.75" spans="1:10">
      <c r="A1048154" s="275"/>
      <c r="B1048154" s="275"/>
      <c r="C1048154" s="275"/>
      <c r="D1048154" s="275"/>
      <c r="E1048154" s="406"/>
      <c r="F1048154" s="407"/>
      <c r="G1048154" s="275"/>
      <c r="H1048154" s="275"/>
      <c r="I1048154" s="275"/>
      <c r="J1048154" s="275"/>
    </row>
    <row r="1048155" customFormat="1" ht="12.75" spans="1:10">
      <c r="A1048155" s="275"/>
      <c r="B1048155" s="275"/>
      <c r="C1048155" s="275"/>
      <c r="D1048155" s="275"/>
      <c r="E1048155" s="406"/>
      <c r="F1048155" s="407"/>
      <c r="G1048155" s="275"/>
      <c r="H1048155" s="275"/>
      <c r="I1048155" s="275"/>
      <c r="J1048155" s="275"/>
    </row>
    <row r="1048156" customFormat="1" ht="12.75" spans="1:10">
      <c r="A1048156" s="275"/>
      <c r="B1048156" s="275"/>
      <c r="C1048156" s="275"/>
      <c r="D1048156" s="275"/>
      <c r="E1048156" s="406"/>
      <c r="F1048156" s="407"/>
      <c r="G1048156" s="275"/>
      <c r="H1048156" s="275"/>
      <c r="I1048156" s="275"/>
      <c r="J1048156" s="275"/>
    </row>
    <row r="1048157" customFormat="1" ht="12.75" spans="1:10">
      <c r="A1048157" s="275"/>
      <c r="B1048157" s="275"/>
      <c r="C1048157" s="275"/>
      <c r="D1048157" s="275"/>
      <c r="E1048157" s="406"/>
      <c r="F1048157" s="407"/>
      <c r="G1048157" s="275"/>
      <c r="H1048157" s="275"/>
      <c r="I1048157" s="275"/>
      <c r="J1048157" s="275"/>
    </row>
    <row r="1048158" customFormat="1" ht="12.75" spans="1:10">
      <c r="A1048158" s="275"/>
      <c r="B1048158" s="275"/>
      <c r="C1048158" s="275"/>
      <c r="D1048158" s="275"/>
      <c r="E1048158" s="406"/>
      <c r="F1048158" s="407"/>
      <c r="G1048158" s="275"/>
      <c r="H1048158" s="275"/>
      <c r="I1048158" s="275"/>
      <c r="J1048158" s="275"/>
    </row>
    <row r="1048159" customFormat="1" ht="12.75" spans="1:10">
      <c r="A1048159" s="275"/>
      <c r="B1048159" s="275"/>
      <c r="C1048159" s="275"/>
      <c r="D1048159" s="275"/>
      <c r="E1048159" s="406"/>
      <c r="F1048159" s="407"/>
      <c r="G1048159" s="275"/>
      <c r="H1048159" s="275"/>
      <c r="I1048159" s="275"/>
      <c r="J1048159" s="275"/>
    </row>
    <row r="1048160" customFormat="1" ht="12.75" spans="1:10">
      <c r="A1048160" s="275"/>
      <c r="B1048160" s="275"/>
      <c r="C1048160" s="275"/>
      <c r="D1048160" s="275"/>
      <c r="E1048160" s="406"/>
      <c r="F1048160" s="407"/>
      <c r="G1048160" s="275"/>
      <c r="H1048160" s="275"/>
      <c r="I1048160" s="275"/>
      <c r="J1048160" s="275"/>
    </row>
    <row r="1048161" customFormat="1" ht="12.75" spans="1:10">
      <c r="A1048161" s="275"/>
      <c r="B1048161" s="275"/>
      <c r="C1048161" s="275"/>
      <c r="D1048161" s="275"/>
      <c r="E1048161" s="406"/>
      <c r="F1048161" s="407"/>
      <c r="G1048161" s="275"/>
      <c r="H1048161" s="275"/>
      <c r="I1048161" s="275"/>
      <c r="J1048161" s="275"/>
    </row>
    <row r="1048162" customFormat="1" ht="12.75" spans="1:10">
      <c r="A1048162" s="275"/>
      <c r="B1048162" s="275"/>
      <c r="C1048162" s="275"/>
      <c r="D1048162" s="275"/>
      <c r="E1048162" s="406"/>
      <c r="F1048162" s="407"/>
      <c r="G1048162" s="275"/>
      <c r="H1048162" s="275"/>
      <c r="I1048162" s="275"/>
      <c r="J1048162" s="275"/>
    </row>
    <row r="1048163" customFormat="1" ht="12.75" spans="1:10">
      <c r="A1048163" s="275"/>
      <c r="B1048163" s="275"/>
      <c r="C1048163" s="275"/>
      <c r="D1048163" s="275"/>
      <c r="E1048163" s="406"/>
      <c r="F1048163" s="407"/>
      <c r="G1048163" s="275"/>
      <c r="H1048163" s="275"/>
      <c r="I1048163" s="275"/>
      <c r="J1048163" s="275"/>
    </row>
    <row r="1048164" customFormat="1" ht="12.75" spans="1:10">
      <c r="A1048164" s="275"/>
      <c r="B1048164" s="275"/>
      <c r="C1048164" s="275"/>
      <c r="D1048164" s="275"/>
      <c r="E1048164" s="406"/>
      <c r="F1048164" s="407"/>
      <c r="G1048164" s="275"/>
      <c r="H1048164" s="275"/>
      <c r="I1048164" s="275"/>
      <c r="J1048164" s="275"/>
    </row>
    <row r="1048165" customFormat="1" ht="12.75" spans="1:10">
      <c r="A1048165" s="275"/>
      <c r="B1048165" s="275"/>
      <c r="C1048165" s="275"/>
      <c r="D1048165" s="275"/>
      <c r="E1048165" s="406"/>
      <c r="F1048165" s="407"/>
      <c r="G1048165" s="275"/>
      <c r="H1048165" s="275"/>
      <c r="I1048165" s="275"/>
      <c r="J1048165" s="275"/>
    </row>
    <row r="1048166" customFormat="1" ht="12.75" spans="1:10">
      <c r="A1048166" s="275"/>
      <c r="B1048166" s="275"/>
      <c r="C1048166" s="275"/>
      <c r="D1048166" s="275"/>
      <c r="E1048166" s="406"/>
      <c r="F1048166" s="407"/>
      <c r="G1048166" s="275"/>
      <c r="H1048166" s="275"/>
      <c r="I1048166" s="275"/>
      <c r="J1048166" s="275"/>
    </row>
    <row r="1048167" customFormat="1" ht="12.75" spans="1:10">
      <c r="A1048167" s="275"/>
      <c r="B1048167" s="275"/>
      <c r="C1048167" s="275"/>
      <c r="D1048167" s="275"/>
      <c r="E1048167" s="406"/>
      <c r="F1048167" s="407"/>
      <c r="G1048167" s="275"/>
      <c r="H1048167" s="275"/>
      <c r="I1048167" s="275"/>
      <c r="J1048167" s="275"/>
    </row>
    <row r="1048168" customFormat="1" ht="12.75" spans="1:10">
      <c r="A1048168" s="275"/>
      <c r="B1048168" s="275"/>
      <c r="C1048168" s="275"/>
      <c r="D1048168" s="275"/>
      <c r="E1048168" s="406"/>
      <c r="F1048168" s="407"/>
      <c r="G1048168" s="275"/>
      <c r="H1048168" s="275"/>
      <c r="I1048168" s="275"/>
      <c r="J1048168" s="275"/>
    </row>
    <row r="1048169" customFormat="1" ht="12.75" spans="1:10">
      <c r="A1048169" s="275"/>
      <c r="B1048169" s="275"/>
      <c r="C1048169" s="275"/>
      <c r="D1048169" s="275"/>
      <c r="E1048169" s="406"/>
      <c r="F1048169" s="407"/>
      <c r="G1048169" s="275"/>
      <c r="H1048169" s="275"/>
      <c r="I1048169" s="275"/>
      <c r="J1048169" s="275"/>
    </row>
    <row r="1048170" customFormat="1" ht="12.75" spans="1:10">
      <c r="A1048170" s="275"/>
      <c r="B1048170" s="275"/>
      <c r="C1048170" s="275"/>
      <c r="D1048170" s="275"/>
      <c r="E1048170" s="406"/>
      <c r="F1048170" s="407"/>
      <c r="G1048170" s="275"/>
      <c r="H1048170" s="275"/>
      <c r="I1048170" s="275"/>
      <c r="J1048170" s="275"/>
    </row>
    <row r="1048171" customFormat="1" ht="12.75" spans="1:10">
      <c r="A1048171" s="275"/>
      <c r="B1048171" s="275"/>
      <c r="C1048171" s="275"/>
      <c r="D1048171" s="275"/>
      <c r="E1048171" s="406"/>
      <c r="F1048171" s="407"/>
      <c r="G1048171" s="275"/>
      <c r="H1048171" s="275"/>
      <c r="I1048171" s="275"/>
      <c r="J1048171" s="275"/>
    </row>
    <row r="1048172" customFormat="1" ht="12.75" spans="1:10">
      <c r="A1048172" s="275"/>
      <c r="B1048172" s="275"/>
      <c r="C1048172" s="275"/>
      <c r="D1048172" s="275"/>
      <c r="E1048172" s="406"/>
      <c r="F1048172" s="407"/>
      <c r="G1048172" s="275"/>
      <c r="H1048172" s="275"/>
      <c r="I1048172" s="275"/>
      <c r="J1048172" s="275"/>
    </row>
    <row r="1048173" customFormat="1" ht="12.75" spans="1:10">
      <c r="A1048173" s="275"/>
      <c r="B1048173" s="275"/>
      <c r="C1048173" s="275"/>
      <c r="D1048173" s="275"/>
      <c r="E1048173" s="406"/>
      <c r="F1048173" s="407"/>
      <c r="G1048173" s="275"/>
      <c r="H1048173" s="275"/>
      <c r="I1048173" s="275"/>
      <c r="J1048173" s="275"/>
    </row>
    <row r="1048174" customFormat="1" ht="12.75" spans="1:10">
      <c r="A1048174" s="275"/>
      <c r="B1048174" s="275"/>
      <c r="C1048174" s="275"/>
      <c r="D1048174" s="275"/>
      <c r="E1048174" s="406"/>
      <c r="F1048174" s="407"/>
      <c r="G1048174" s="275"/>
      <c r="H1048174" s="275"/>
      <c r="I1048174" s="275"/>
      <c r="J1048174" s="275"/>
    </row>
    <row r="1048175" customFormat="1" ht="12.75" spans="1:10">
      <c r="A1048175" s="275"/>
      <c r="B1048175" s="275"/>
      <c r="C1048175" s="275"/>
      <c r="D1048175" s="275"/>
      <c r="E1048175" s="406"/>
      <c r="F1048175" s="407"/>
      <c r="G1048175" s="275"/>
      <c r="H1048175" s="275"/>
      <c r="I1048175" s="275"/>
      <c r="J1048175" s="275"/>
    </row>
    <row r="1048176" customFormat="1" ht="12.75" spans="1:10">
      <c r="A1048176" s="275"/>
      <c r="B1048176" s="275"/>
      <c r="C1048176" s="275"/>
      <c r="D1048176" s="275"/>
      <c r="E1048176" s="406"/>
      <c r="F1048176" s="407"/>
      <c r="G1048176" s="275"/>
      <c r="H1048176" s="275"/>
      <c r="I1048176" s="275"/>
      <c r="J1048176" s="275"/>
    </row>
    <row r="1048177" customFormat="1" ht="12.75" spans="1:10">
      <c r="A1048177" s="275"/>
      <c r="B1048177" s="275"/>
      <c r="C1048177" s="275"/>
      <c r="D1048177" s="275"/>
      <c r="E1048177" s="406"/>
      <c r="F1048177" s="407"/>
      <c r="G1048177" s="275"/>
      <c r="H1048177" s="275"/>
      <c r="I1048177" s="275"/>
      <c r="J1048177" s="275"/>
    </row>
    <row r="1048178" customFormat="1" ht="12.75" spans="1:10">
      <c r="A1048178" s="275"/>
      <c r="B1048178" s="275"/>
      <c r="C1048178" s="275"/>
      <c r="D1048178" s="275"/>
      <c r="E1048178" s="406"/>
      <c r="F1048178" s="407"/>
      <c r="G1048178" s="275"/>
      <c r="H1048178" s="275"/>
      <c r="I1048178" s="275"/>
      <c r="J1048178" s="275"/>
    </row>
    <row r="1048179" customFormat="1" ht="12.75" spans="1:10">
      <c r="A1048179" s="275"/>
      <c r="B1048179" s="275"/>
      <c r="C1048179" s="275"/>
      <c r="D1048179" s="275"/>
      <c r="E1048179" s="406"/>
      <c r="F1048179" s="407"/>
      <c r="G1048179" s="275"/>
      <c r="H1048179" s="275"/>
      <c r="I1048179" s="275"/>
      <c r="J1048179" s="275"/>
    </row>
    <row r="1048180" customFormat="1" ht="12.75" spans="1:10">
      <c r="A1048180" s="275"/>
      <c r="B1048180" s="275"/>
      <c r="C1048180" s="275"/>
      <c r="D1048180" s="275"/>
      <c r="E1048180" s="406"/>
      <c r="F1048180" s="407"/>
      <c r="G1048180" s="275"/>
      <c r="H1048180" s="275"/>
      <c r="I1048180" s="275"/>
      <c r="J1048180" s="275"/>
    </row>
    <row r="1048181" customFormat="1" ht="12.75" spans="1:10">
      <c r="A1048181" s="275"/>
      <c r="B1048181" s="275"/>
      <c r="C1048181" s="275"/>
      <c r="D1048181" s="275"/>
      <c r="E1048181" s="406"/>
      <c r="F1048181" s="407"/>
      <c r="G1048181" s="275"/>
      <c r="H1048181" s="275"/>
      <c r="I1048181" s="275"/>
      <c r="J1048181" s="275"/>
    </row>
    <row r="1048182" customFormat="1" ht="12.75" spans="1:10">
      <c r="A1048182" s="275"/>
      <c r="B1048182" s="275"/>
      <c r="C1048182" s="275"/>
      <c r="D1048182" s="275"/>
      <c r="E1048182" s="406"/>
      <c r="F1048182" s="407"/>
      <c r="G1048182" s="275"/>
      <c r="H1048182" s="275"/>
      <c r="I1048182" s="275"/>
      <c r="J1048182" s="275"/>
    </row>
    <row r="1048183" customFormat="1" ht="12.75" spans="1:10">
      <c r="A1048183" s="275"/>
      <c r="B1048183" s="275"/>
      <c r="C1048183" s="275"/>
      <c r="D1048183" s="275"/>
      <c r="E1048183" s="406"/>
      <c r="F1048183" s="407"/>
      <c r="G1048183" s="275"/>
      <c r="H1048183" s="275"/>
      <c r="I1048183" s="275"/>
      <c r="J1048183" s="275"/>
    </row>
    <row r="1048184" customFormat="1" ht="12.75" spans="1:10">
      <c r="A1048184" s="275"/>
      <c r="B1048184" s="275"/>
      <c r="C1048184" s="275"/>
      <c r="D1048184" s="275"/>
      <c r="E1048184" s="406"/>
      <c r="F1048184" s="407"/>
      <c r="G1048184" s="275"/>
      <c r="H1048184" s="275"/>
      <c r="I1048184" s="275"/>
      <c r="J1048184" s="275"/>
    </row>
    <row r="1048185" customFormat="1" ht="12.75" spans="1:10">
      <c r="A1048185" s="275"/>
      <c r="B1048185" s="275"/>
      <c r="C1048185" s="275"/>
      <c r="D1048185" s="275"/>
      <c r="E1048185" s="406"/>
      <c r="F1048185" s="407"/>
      <c r="G1048185" s="275"/>
      <c r="H1048185" s="275"/>
      <c r="I1048185" s="275"/>
      <c r="J1048185" s="275"/>
    </row>
    <row r="1048186" customFormat="1" ht="12.75" spans="1:10">
      <c r="A1048186" s="275"/>
      <c r="B1048186" s="275"/>
      <c r="C1048186" s="275"/>
      <c r="D1048186" s="275"/>
      <c r="E1048186" s="406"/>
      <c r="F1048186" s="407"/>
      <c r="G1048186" s="275"/>
      <c r="H1048186" s="275"/>
      <c r="I1048186" s="275"/>
      <c r="J1048186" s="275"/>
    </row>
    <row r="1048187" customFormat="1" ht="12.75" spans="1:10">
      <c r="A1048187" s="275"/>
      <c r="B1048187" s="275"/>
      <c r="C1048187" s="275"/>
      <c r="D1048187" s="275"/>
      <c r="E1048187" s="406"/>
      <c r="F1048187" s="407"/>
      <c r="G1048187" s="275"/>
      <c r="H1048187" s="275"/>
      <c r="I1048187" s="275"/>
      <c r="J1048187" s="275"/>
    </row>
    <row r="1048188" customFormat="1" ht="12.75" spans="1:10">
      <c r="A1048188" s="275"/>
      <c r="B1048188" s="275"/>
      <c r="C1048188" s="275"/>
      <c r="D1048188" s="275"/>
      <c r="E1048188" s="406"/>
      <c r="F1048188" s="407"/>
      <c r="G1048188" s="275"/>
      <c r="H1048188" s="275"/>
      <c r="I1048188" s="275"/>
      <c r="J1048188" s="275"/>
    </row>
    <row r="1048189" customFormat="1" ht="12.75" spans="1:10">
      <c r="A1048189" s="275"/>
      <c r="B1048189" s="275"/>
      <c r="C1048189" s="275"/>
      <c r="D1048189" s="275"/>
      <c r="E1048189" s="406"/>
      <c r="F1048189" s="407"/>
      <c r="G1048189" s="275"/>
      <c r="H1048189" s="275"/>
      <c r="I1048189" s="275"/>
      <c r="J1048189" s="275"/>
    </row>
    <row r="1048190" customFormat="1" ht="12.75" spans="1:10">
      <c r="A1048190" s="275"/>
      <c r="B1048190" s="275"/>
      <c r="C1048190" s="275"/>
      <c r="D1048190" s="275"/>
      <c r="E1048190" s="406"/>
      <c r="F1048190" s="407"/>
      <c r="G1048190" s="275"/>
      <c r="H1048190" s="275"/>
      <c r="I1048190" s="275"/>
      <c r="J1048190" s="275"/>
    </row>
    <row r="1048191" customFormat="1" ht="12.75" spans="1:10">
      <c r="A1048191" s="275"/>
      <c r="B1048191" s="275"/>
      <c r="C1048191" s="275"/>
      <c r="D1048191" s="275"/>
      <c r="E1048191" s="406"/>
      <c r="F1048191" s="407"/>
      <c r="G1048191" s="275"/>
      <c r="H1048191" s="275"/>
      <c r="I1048191" s="275"/>
      <c r="J1048191" s="275"/>
    </row>
    <row r="1048192" customFormat="1" ht="12.75" spans="1:10">
      <c r="A1048192" s="275"/>
      <c r="B1048192" s="275"/>
      <c r="C1048192" s="275"/>
      <c r="D1048192" s="275"/>
      <c r="E1048192" s="406"/>
      <c r="F1048192" s="407"/>
      <c r="G1048192" s="275"/>
      <c r="H1048192" s="275"/>
      <c r="I1048192" s="275"/>
      <c r="J1048192" s="275"/>
    </row>
    <row r="1048193" customFormat="1" ht="12.75" spans="1:10">
      <c r="A1048193" s="275"/>
      <c r="B1048193" s="275"/>
      <c r="C1048193" s="275"/>
      <c r="D1048193" s="275"/>
      <c r="E1048193" s="406"/>
      <c r="F1048193" s="407"/>
      <c r="G1048193" s="275"/>
      <c r="H1048193" s="275"/>
      <c r="I1048193" s="275"/>
      <c r="J1048193" s="275"/>
    </row>
    <row r="1048194" customFormat="1" ht="12.75" spans="1:10">
      <c r="A1048194" s="275"/>
      <c r="B1048194" s="275"/>
      <c r="C1048194" s="275"/>
      <c r="D1048194" s="275"/>
      <c r="E1048194" s="406"/>
      <c r="F1048194" s="407"/>
      <c r="G1048194" s="275"/>
      <c r="H1048194" s="275"/>
      <c r="I1048194" s="275"/>
      <c r="J1048194" s="275"/>
    </row>
    <row r="1048195" customFormat="1" ht="12.75" spans="1:10">
      <c r="A1048195" s="275"/>
      <c r="B1048195" s="275"/>
      <c r="C1048195" s="275"/>
      <c r="D1048195" s="275"/>
      <c r="E1048195" s="406"/>
      <c r="F1048195" s="407"/>
      <c r="G1048195" s="275"/>
      <c r="H1048195" s="275"/>
      <c r="I1048195" s="275"/>
      <c r="J1048195" s="275"/>
    </row>
    <row r="1048196" customFormat="1" ht="12.75" spans="1:10">
      <c r="A1048196" s="275"/>
      <c r="B1048196" s="275"/>
      <c r="C1048196" s="275"/>
      <c r="D1048196" s="275"/>
      <c r="E1048196" s="406"/>
      <c r="F1048196" s="407"/>
      <c r="G1048196" s="275"/>
      <c r="H1048196" s="275"/>
      <c r="I1048196" s="275"/>
      <c r="J1048196" s="275"/>
    </row>
    <row r="1048197" customFormat="1" ht="12.75" spans="1:10">
      <c r="A1048197" s="275"/>
      <c r="B1048197" s="275"/>
      <c r="C1048197" s="275"/>
      <c r="D1048197" s="275"/>
      <c r="E1048197" s="406"/>
      <c r="F1048197" s="407"/>
      <c r="G1048197" s="275"/>
      <c r="H1048197" s="275"/>
      <c r="I1048197" s="275"/>
      <c r="J1048197" s="275"/>
    </row>
    <row r="1048198" customFormat="1" ht="12.75" spans="1:10">
      <c r="A1048198" s="275"/>
      <c r="B1048198" s="275"/>
      <c r="C1048198" s="275"/>
      <c r="D1048198" s="275"/>
      <c r="E1048198" s="406"/>
      <c r="F1048198" s="407"/>
      <c r="G1048198" s="275"/>
      <c r="H1048198" s="275"/>
      <c r="I1048198" s="275"/>
      <c r="J1048198" s="275"/>
    </row>
    <row r="1048199" customFormat="1" ht="12.75" spans="1:10">
      <c r="A1048199" s="275"/>
      <c r="B1048199" s="275"/>
      <c r="C1048199" s="275"/>
      <c r="D1048199" s="275"/>
      <c r="E1048199" s="406"/>
      <c r="F1048199" s="407"/>
      <c r="G1048199" s="275"/>
      <c r="H1048199" s="275"/>
      <c r="I1048199" s="275"/>
      <c r="J1048199" s="275"/>
    </row>
    <row r="1048200" customFormat="1" ht="12.75" spans="1:10">
      <c r="A1048200" s="275"/>
      <c r="B1048200" s="275"/>
      <c r="C1048200" s="275"/>
      <c r="D1048200" s="275"/>
      <c r="E1048200" s="406"/>
      <c r="F1048200" s="407"/>
      <c r="G1048200" s="275"/>
      <c r="H1048200" s="275"/>
      <c r="I1048200" s="275"/>
      <c r="J1048200" s="275"/>
    </row>
    <row r="1048201" customFormat="1" ht="12.75" spans="1:10">
      <c r="A1048201" s="275"/>
      <c r="B1048201" s="275"/>
      <c r="C1048201" s="275"/>
      <c r="D1048201" s="275"/>
      <c r="E1048201" s="406"/>
      <c r="F1048201" s="407"/>
      <c r="G1048201" s="275"/>
      <c r="H1048201" s="275"/>
      <c r="I1048201" s="275"/>
      <c r="J1048201" s="275"/>
    </row>
    <row r="1048202" customFormat="1" ht="12.75" spans="1:10">
      <c r="A1048202" s="275"/>
      <c r="B1048202" s="275"/>
      <c r="C1048202" s="275"/>
      <c r="D1048202" s="275"/>
      <c r="E1048202" s="406"/>
      <c r="F1048202" s="407"/>
      <c r="G1048202" s="275"/>
      <c r="H1048202" s="275"/>
      <c r="I1048202" s="275"/>
      <c r="J1048202" s="275"/>
    </row>
    <row r="1048203" customFormat="1" ht="12.75" spans="1:10">
      <c r="A1048203" s="275"/>
      <c r="B1048203" s="275"/>
      <c r="C1048203" s="275"/>
      <c r="D1048203" s="275"/>
      <c r="E1048203" s="406"/>
      <c r="F1048203" s="407"/>
      <c r="G1048203" s="275"/>
      <c r="H1048203" s="275"/>
      <c r="I1048203" s="275"/>
      <c r="J1048203" s="275"/>
    </row>
    <row r="1048204" customFormat="1" ht="12.75" spans="1:10">
      <c r="A1048204" s="275"/>
      <c r="B1048204" s="275"/>
      <c r="C1048204" s="275"/>
      <c r="D1048204" s="275"/>
      <c r="E1048204" s="406"/>
      <c r="F1048204" s="407"/>
      <c r="G1048204" s="275"/>
      <c r="H1048204" s="275"/>
      <c r="I1048204" s="275"/>
      <c r="J1048204" s="275"/>
    </row>
    <row r="1048205" customFormat="1" ht="12.75" spans="1:10">
      <c r="A1048205" s="275"/>
      <c r="B1048205" s="275"/>
      <c r="C1048205" s="275"/>
      <c r="D1048205" s="275"/>
      <c r="E1048205" s="406"/>
      <c r="F1048205" s="407"/>
      <c r="G1048205" s="275"/>
      <c r="H1048205" s="275"/>
      <c r="I1048205" s="275"/>
      <c r="J1048205" s="275"/>
    </row>
    <row r="1048206" customFormat="1" ht="12.75" spans="1:10">
      <c r="A1048206" s="275"/>
      <c r="B1048206" s="275"/>
      <c r="C1048206" s="275"/>
      <c r="D1048206" s="275"/>
      <c r="E1048206" s="406"/>
      <c r="F1048206" s="407"/>
      <c r="G1048206" s="275"/>
      <c r="H1048206" s="275"/>
      <c r="I1048206" s="275"/>
      <c r="J1048206" s="275"/>
    </row>
    <row r="1048207" customFormat="1" ht="12.75" spans="1:10">
      <c r="A1048207" s="275"/>
      <c r="B1048207" s="275"/>
      <c r="C1048207" s="275"/>
      <c r="D1048207" s="275"/>
      <c r="E1048207" s="406"/>
      <c r="F1048207" s="407"/>
      <c r="G1048207" s="275"/>
      <c r="H1048207" s="275"/>
      <c r="I1048207" s="275"/>
      <c r="J1048207" s="275"/>
    </row>
    <row r="1048208" customFormat="1" ht="12.75" spans="1:10">
      <c r="A1048208" s="275"/>
      <c r="B1048208" s="275"/>
      <c r="C1048208" s="275"/>
      <c r="D1048208" s="275"/>
      <c r="E1048208" s="406"/>
      <c r="F1048208" s="407"/>
      <c r="G1048208" s="275"/>
      <c r="H1048208" s="275"/>
      <c r="I1048208" s="275"/>
      <c r="J1048208" s="275"/>
    </row>
    <row r="1048209" customFormat="1" ht="12.75" spans="1:10">
      <c r="A1048209" s="275"/>
      <c r="B1048209" s="275"/>
      <c r="C1048209" s="275"/>
      <c r="D1048209" s="275"/>
      <c r="E1048209" s="406"/>
      <c r="F1048209" s="407"/>
      <c r="G1048209" s="275"/>
      <c r="H1048209" s="275"/>
      <c r="I1048209" s="275"/>
      <c r="J1048209" s="275"/>
    </row>
    <row r="1048210" customFormat="1" ht="12.75" spans="1:10">
      <c r="A1048210" s="275"/>
      <c r="B1048210" s="275"/>
      <c r="C1048210" s="275"/>
      <c r="D1048210" s="275"/>
      <c r="E1048210" s="406"/>
      <c r="F1048210" s="407"/>
      <c r="G1048210" s="275"/>
      <c r="H1048210" s="275"/>
      <c r="I1048210" s="275"/>
      <c r="J1048210" s="275"/>
    </row>
    <row r="1048211" customFormat="1" ht="12.75" spans="1:10">
      <c r="A1048211" s="275"/>
      <c r="B1048211" s="275"/>
      <c r="C1048211" s="275"/>
      <c r="D1048211" s="275"/>
      <c r="E1048211" s="406"/>
      <c r="F1048211" s="407"/>
      <c r="G1048211" s="275"/>
      <c r="H1048211" s="275"/>
      <c r="I1048211" s="275"/>
      <c r="J1048211" s="275"/>
    </row>
    <row r="1048212" customFormat="1" ht="12.75" spans="1:10">
      <c r="A1048212" s="275"/>
      <c r="B1048212" s="275"/>
      <c r="C1048212" s="275"/>
      <c r="D1048212" s="275"/>
      <c r="E1048212" s="406"/>
      <c r="F1048212" s="407"/>
      <c r="G1048212" s="275"/>
      <c r="H1048212" s="275"/>
      <c r="I1048212" s="275"/>
      <c r="J1048212" s="275"/>
    </row>
    <row r="1048213" customFormat="1" ht="12.75" spans="1:10">
      <c r="A1048213" s="275"/>
      <c r="B1048213" s="275"/>
      <c r="C1048213" s="275"/>
      <c r="D1048213" s="275"/>
      <c r="E1048213" s="406"/>
      <c r="F1048213" s="407"/>
      <c r="G1048213" s="275"/>
      <c r="H1048213" s="275"/>
      <c r="I1048213" s="275"/>
      <c r="J1048213" s="275"/>
    </row>
    <row r="1048214" customFormat="1" ht="12.75" spans="1:10">
      <c r="A1048214" s="275"/>
      <c r="B1048214" s="275"/>
      <c r="C1048214" s="275"/>
      <c r="D1048214" s="275"/>
      <c r="E1048214" s="406"/>
      <c r="F1048214" s="407"/>
      <c r="G1048214" s="275"/>
      <c r="H1048214" s="275"/>
      <c r="I1048214" s="275"/>
      <c r="J1048214" s="275"/>
    </row>
    <row r="1048215" customFormat="1" ht="12.75" spans="1:10">
      <c r="A1048215" s="275"/>
      <c r="B1048215" s="275"/>
      <c r="C1048215" s="275"/>
      <c r="D1048215" s="275"/>
      <c r="E1048215" s="406"/>
      <c r="F1048215" s="407"/>
      <c r="G1048215" s="275"/>
      <c r="H1048215" s="275"/>
      <c r="I1048215" s="275"/>
      <c r="J1048215" s="275"/>
    </row>
    <row r="1048216" customFormat="1" ht="12.75" spans="1:10">
      <c r="A1048216" s="275"/>
      <c r="B1048216" s="275"/>
      <c r="C1048216" s="275"/>
      <c r="D1048216" s="275"/>
      <c r="E1048216" s="406"/>
      <c r="F1048216" s="407"/>
      <c r="G1048216" s="275"/>
      <c r="H1048216" s="275"/>
      <c r="I1048216" s="275"/>
      <c r="J1048216" s="275"/>
    </row>
    <row r="1048217" customFormat="1" ht="12.75" spans="1:10">
      <c r="A1048217" s="275"/>
      <c r="B1048217" s="275"/>
      <c r="C1048217" s="275"/>
      <c r="D1048217" s="275"/>
      <c r="E1048217" s="406"/>
      <c r="F1048217" s="407"/>
      <c r="G1048217" s="275"/>
      <c r="H1048217" s="275"/>
      <c r="I1048217" s="275"/>
      <c r="J1048217" s="275"/>
    </row>
    <row r="1048218" customFormat="1" ht="12.75" spans="1:10">
      <c r="A1048218" s="275"/>
      <c r="B1048218" s="275"/>
      <c r="C1048218" s="275"/>
      <c r="D1048218" s="275"/>
      <c r="E1048218" s="406"/>
      <c r="F1048218" s="407"/>
      <c r="G1048218" s="275"/>
      <c r="H1048218" s="275"/>
      <c r="I1048218" s="275"/>
      <c r="J1048218" s="275"/>
    </row>
    <row r="1048219" customFormat="1" ht="12.75" spans="1:10">
      <c r="A1048219" s="275"/>
      <c r="B1048219" s="275"/>
      <c r="C1048219" s="275"/>
      <c r="D1048219" s="275"/>
      <c r="E1048219" s="406"/>
      <c r="F1048219" s="407"/>
      <c r="G1048219" s="275"/>
      <c r="H1048219" s="275"/>
      <c r="I1048219" s="275"/>
      <c r="J1048219" s="275"/>
    </row>
    <row r="1048220" customFormat="1" ht="12.75" spans="1:10">
      <c r="A1048220" s="275"/>
      <c r="B1048220" s="275"/>
      <c r="C1048220" s="275"/>
      <c r="D1048220" s="275"/>
      <c r="E1048220" s="406"/>
      <c r="F1048220" s="407"/>
      <c r="G1048220" s="275"/>
      <c r="H1048220" s="275"/>
      <c r="I1048220" s="275"/>
      <c r="J1048220" s="275"/>
    </row>
    <row r="1048221" customFormat="1" ht="12.75" spans="1:10">
      <c r="A1048221" s="275"/>
      <c r="B1048221" s="275"/>
      <c r="C1048221" s="275"/>
      <c r="D1048221" s="275"/>
      <c r="E1048221" s="406"/>
      <c r="F1048221" s="407"/>
      <c r="G1048221" s="275"/>
      <c r="H1048221" s="275"/>
      <c r="I1048221" s="275"/>
      <c r="J1048221" s="275"/>
    </row>
    <row r="1048222" customFormat="1" ht="12.75" spans="1:10">
      <c r="A1048222" s="275"/>
      <c r="B1048222" s="275"/>
      <c r="C1048222" s="275"/>
      <c r="D1048222" s="275"/>
      <c r="E1048222" s="406"/>
      <c r="F1048222" s="407"/>
      <c r="G1048222" s="275"/>
      <c r="H1048222" s="275"/>
      <c r="I1048222" s="275"/>
      <c r="J1048222" s="275"/>
    </row>
    <row r="1048223" customFormat="1" ht="12.75" spans="1:10">
      <c r="A1048223" s="275"/>
      <c r="B1048223" s="275"/>
      <c r="C1048223" s="275"/>
      <c r="D1048223" s="275"/>
      <c r="E1048223" s="406"/>
      <c r="F1048223" s="407"/>
      <c r="G1048223" s="275"/>
      <c r="H1048223" s="275"/>
      <c r="I1048223" s="275"/>
      <c r="J1048223" s="275"/>
    </row>
    <row r="1048224" customFormat="1" ht="12.75" spans="1:10">
      <c r="A1048224" s="275"/>
      <c r="B1048224" s="275"/>
      <c r="C1048224" s="275"/>
      <c r="D1048224" s="275"/>
      <c r="E1048224" s="406"/>
      <c r="F1048224" s="407"/>
      <c r="G1048224" s="275"/>
      <c r="H1048224" s="275"/>
      <c r="I1048224" s="275"/>
      <c r="J1048224" s="275"/>
    </row>
    <row r="1048225" customFormat="1" ht="12.75" spans="1:10">
      <c r="A1048225" s="275"/>
      <c r="B1048225" s="275"/>
      <c r="C1048225" s="275"/>
      <c r="D1048225" s="275"/>
      <c r="E1048225" s="406"/>
      <c r="F1048225" s="407"/>
      <c r="G1048225" s="275"/>
      <c r="H1048225" s="275"/>
      <c r="I1048225" s="275"/>
      <c r="J1048225" s="275"/>
    </row>
    <row r="1048226" customFormat="1" ht="12.75" spans="1:10">
      <c r="A1048226" s="275"/>
      <c r="B1048226" s="275"/>
      <c r="C1048226" s="275"/>
      <c r="D1048226" s="275"/>
      <c r="E1048226" s="406"/>
      <c r="F1048226" s="407"/>
      <c r="G1048226" s="275"/>
      <c r="H1048226" s="275"/>
      <c r="I1048226" s="275"/>
      <c r="J1048226" s="275"/>
    </row>
    <row r="1048227" customFormat="1" ht="12.75" spans="1:10">
      <c r="A1048227" s="275"/>
      <c r="B1048227" s="275"/>
      <c r="C1048227" s="275"/>
      <c r="D1048227" s="275"/>
      <c r="E1048227" s="406"/>
      <c r="F1048227" s="407"/>
      <c r="G1048227" s="275"/>
      <c r="H1048227" s="275"/>
      <c r="I1048227" s="275"/>
      <c r="J1048227" s="275"/>
    </row>
    <row r="1048228" customFormat="1" ht="12.75" spans="1:10">
      <c r="A1048228" s="275"/>
      <c r="B1048228" s="275"/>
      <c r="C1048228" s="275"/>
      <c r="D1048228" s="275"/>
      <c r="E1048228" s="406"/>
      <c r="F1048228" s="407"/>
      <c r="G1048228" s="275"/>
      <c r="H1048228" s="275"/>
      <c r="I1048228" s="275"/>
      <c r="J1048228" s="275"/>
    </row>
    <row r="1048229" customFormat="1" ht="12.75" spans="1:10">
      <c r="A1048229" s="275"/>
      <c r="B1048229" s="275"/>
      <c r="C1048229" s="275"/>
      <c r="D1048229" s="275"/>
      <c r="E1048229" s="406"/>
      <c r="F1048229" s="407"/>
      <c r="G1048229" s="275"/>
      <c r="H1048229" s="275"/>
      <c r="I1048229" s="275"/>
      <c r="J1048229" s="275"/>
    </row>
    <row r="1048230" customFormat="1" ht="12.75" spans="1:10">
      <c r="A1048230" s="275"/>
      <c r="B1048230" s="275"/>
      <c r="C1048230" s="275"/>
      <c r="D1048230" s="275"/>
      <c r="E1048230" s="406"/>
      <c r="F1048230" s="407"/>
      <c r="G1048230" s="275"/>
      <c r="H1048230" s="275"/>
      <c r="I1048230" s="275"/>
      <c r="J1048230" s="275"/>
    </row>
    <row r="1048231" customFormat="1" ht="12.75" spans="1:10">
      <c r="A1048231" s="275"/>
      <c r="B1048231" s="275"/>
      <c r="C1048231" s="275"/>
      <c r="D1048231" s="275"/>
      <c r="E1048231" s="406"/>
      <c r="F1048231" s="407"/>
      <c r="G1048231" s="275"/>
      <c r="H1048231" s="275"/>
      <c r="I1048231" s="275"/>
      <c r="J1048231" s="275"/>
    </row>
    <row r="1048232" customFormat="1" ht="12.75" spans="1:10">
      <c r="A1048232" s="275"/>
      <c r="B1048232" s="275"/>
      <c r="C1048232" s="275"/>
      <c r="D1048232" s="275"/>
      <c r="E1048232" s="406"/>
      <c r="F1048232" s="407"/>
      <c r="G1048232" s="275"/>
      <c r="H1048232" s="275"/>
      <c r="I1048232" s="275"/>
      <c r="J1048232" s="275"/>
    </row>
    <row r="1048233" customFormat="1" ht="12.75" spans="1:10">
      <c r="A1048233" s="275"/>
      <c r="B1048233" s="275"/>
      <c r="C1048233" s="275"/>
      <c r="D1048233" s="275"/>
      <c r="E1048233" s="406"/>
      <c r="F1048233" s="407"/>
      <c r="G1048233" s="275"/>
      <c r="H1048233" s="275"/>
      <c r="I1048233" s="275"/>
      <c r="J1048233" s="275"/>
    </row>
    <row r="1048234" customFormat="1" ht="12.75" spans="1:10">
      <c r="A1048234" s="275"/>
      <c r="B1048234" s="275"/>
      <c r="C1048234" s="275"/>
      <c r="D1048234" s="275"/>
      <c r="E1048234" s="406"/>
      <c r="F1048234" s="407"/>
      <c r="G1048234" s="275"/>
      <c r="H1048234" s="275"/>
      <c r="I1048234" s="275"/>
      <c r="J1048234" s="275"/>
    </row>
    <row r="1048235" customFormat="1" ht="12.75" spans="1:10">
      <c r="A1048235" s="275"/>
      <c r="B1048235" s="275"/>
      <c r="C1048235" s="275"/>
      <c r="D1048235" s="275"/>
      <c r="E1048235" s="406"/>
      <c r="F1048235" s="407"/>
      <c r="G1048235" s="275"/>
      <c r="H1048235" s="275"/>
      <c r="I1048235" s="275"/>
      <c r="J1048235" s="275"/>
    </row>
    <row r="1048236" customFormat="1" ht="12.75" spans="1:10">
      <c r="A1048236" s="275"/>
      <c r="B1048236" s="275"/>
      <c r="C1048236" s="275"/>
      <c r="D1048236" s="275"/>
      <c r="E1048236" s="406"/>
      <c r="F1048236" s="407"/>
      <c r="G1048236" s="275"/>
      <c r="H1048236" s="275"/>
      <c r="I1048236" s="275"/>
      <c r="J1048236" s="275"/>
    </row>
    <row r="1048237" customFormat="1" ht="12.75" spans="1:10">
      <c r="A1048237" s="275"/>
      <c r="B1048237" s="275"/>
      <c r="C1048237" s="275"/>
      <c r="D1048237" s="275"/>
      <c r="E1048237" s="406"/>
      <c r="F1048237" s="407"/>
      <c r="G1048237" s="275"/>
      <c r="H1048237" s="275"/>
      <c r="I1048237" s="275"/>
      <c r="J1048237" s="275"/>
    </row>
    <row r="1048238" customFormat="1" ht="12.75" spans="1:10">
      <c r="A1048238" s="275"/>
      <c r="B1048238" s="275"/>
      <c r="C1048238" s="275"/>
      <c r="D1048238" s="275"/>
      <c r="E1048238" s="406"/>
      <c r="F1048238" s="407"/>
      <c r="G1048238" s="275"/>
      <c r="H1048238" s="275"/>
      <c r="I1048238" s="275"/>
      <c r="J1048238" s="275"/>
    </row>
    <row r="1048239" customFormat="1" ht="12.75" spans="1:10">
      <c r="A1048239" s="275"/>
      <c r="B1048239" s="275"/>
      <c r="C1048239" s="275"/>
      <c r="D1048239" s="275"/>
      <c r="E1048239" s="406"/>
      <c r="F1048239" s="407"/>
      <c r="G1048239" s="275"/>
      <c r="H1048239" s="275"/>
      <c r="I1048239" s="275"/>
      <c r="J1048239" s="275"/>
    </row>
    <row r="1048240" customFormat="1" ht="12.75" spans="1:10">
      <c r="A1048240" s="275"/>
      <c r="B1048240" s="275"/>
      <c r="C1048240" s="275"/>
      <c r="D1048240" s="275"/>
      <c r="E1048240" s="406"/>
      <c r="F1048240" s="407"/>
      <c r="G1048240" s="275"/>
      <c r="H1048240" s="275"/>
      <c r="I1048240" s="275"/>
      <c r="J1048240" s="275"/>
    </row>
    <row r="1048241" customFormat="1" ht="12.75" spans="1:10">
      <c r="A1048241" s="275"/>
      <c r="B1048241" s="275"/>
      <c r="C1048241" s="275"/>
      <c r="D1048241" s="275"/>
      <c r="E1048241" s="406"/>
      <c r="F1048241" s="407"/>
      <c r="G1048241" s="275"/>
      <c r="H1048241" s="275"/>
      <c r="I1048241" s="275"/>
      <c r="J1048241" s="275"/>
    </row>
    <row r="1048242" customFormat="1" ht="12.75" spans="1:10">
      <c r="A1048242" s="275"/>
      <c r="B1048242" s="275"/>
      <c r="C1048242" s="275"/>
      <c r="D1048242" s="275"/>
      <c r="E1048242" s="406"/>
      <c r="F1048242" s="407"/>
      <c r="G1048242" s="275"/>
      <c r="H1048242" s="275"/>
      <c r="I1048242" s="275"/>
      <c r="J1048242" s="275"/>
    </row>
    <row r="1048243" customFormat="1" ht="12.75" spans="1:10">
      <c r="A1048243" s="275"/>
      <c r="B1048243" s="275"/>
      <c r="C1048243" s="275"/>
      <c r="D1048243" s="275"/>
      <c r="E1048243" s="406"/>
      <c r="F1048243" s="407"/>
      <c r="G1048243" s="275"/>
      <c r="H1048243" s="275"/>
      <c r="I1048243" s="275"/>
      <c r="J1048243" s="275"/>
    </row>
    <row r="1048244" customFormat="1" ht="12.75" spans="1:10">
      <c r="A1048244" s="275"/>
      <c r="B1048244" s="275"/>
      <c r="C1048244" s="275"/>
      <c r="D1048244" s="275"/>
      <c r="E1048244" s="406"/>
      <c r="F1048244" s="407"/>
      <c r="G1048244" s="275"/>
      <c r="H1048244" s="275"/>
      <c r="I1048244" s="275"/>
      <c r="J1048244" s="275"/>
    </row>
    <row r="1048245" customFormat="1" ht="12.75" spans="1:10">
      <c r="A1048245" s="275"/>
      <c r="B1048245" s="275"/>
      <c r="C1048245" s="275"/>
      <c r="D1048245" s="275"/>
      <c r="E1048245" s="406"/>
      <c r="F1048245" s="407"/>
      <c r="G1048245" s="275"/>
      <c r="H1048245" s="275"/>
      <c r="I1048245" s="275"/>
      <c r="J1048245" s="275"/>
    </row>
    <row r="1048246" customFormat="1" ht="12.75" spans="1:10">
      <c r="A1048246" s="275"/>
      <c r="B1048246" s="275"/>
      <c r="C1048246" s="275"/>
      <c r="D1048246" s="275"/>
      <c r="E1048246" s="406"/>
      <c r="F1048246" s="407"/>
      <c r="G1048246" s="275"/>
      <c r="H1048246" s="275"/>
      <c r="I1048246" s="275"/>
      <c r="J1048246" s="275"/>
    </row>
    <row r="1048247" customFormat="1" ht="12.75" spans="1:10">
      <c r="A1048247" s="275"/>
      <c r="B1048247" s="275"/>
      <c r="C1048247" s="275"/>
      <c r="D1048247" s="275"/>
      <c r="E1048247" s="406"/>
      <c r="F1048247" s="407"/>
      <c r="G1048247" s="275"/>
      <c r="H1048247" s="275"/>
      <c r="I1048247" s="275"/>
      <c r="J1048247" s="275"/>
    </row>
    <row r="1048248" customFormat="1" ht="12.75" spans="1:10">
      <c r="A1048248" s="275"/>
      <c r="B1048248" s="275"/>
      <c r="C1048248" s="275"/>
      <c r="D1048248" s="275"/>
      <c r="E1048248" s="406"/>
      <c r="F1048248" s="407"/>
      <c r="G1048248" s="275"/>
      <c r="H1048248" s="275"/>
      <c r="I1048248" s="275"/>
      <c r="J1048248" s="275"/>
    </row>
    <row r="1048249" customFormat="1" ht="12.75" spans="1:10">
      <c r="A1048249" s="275"/>
      <c r="B1048249" s="275"/>
      <c r="C1048249" s="275"/>
      <c r="D1048249" s="275"/>
      <c r="E1048249" s="406"/>
      <c r="F1048249" s="407"/>
      <c r="G1048249" s="275"/>
      <c r="H1048249" s="275"/>
      <c r="I1048249" s="275"/>
      <c r="J1048249" s="275"/>
    </row>
    <row r="1048250" customFormat="1" ht="12.75" spans="1:10">
      <c r="A1048250" s="275"/>
      <c r="B1048250" s="275"/>
      <c r="C1048250" s="275"/>
      <c r="D1048250" s="275"/>
      <c r="E1048250" s="406"/>
      <c r="F1048250" s="407"/>
      <c r="G1048250" s="275"/>
      <c r="H1048250" s="275"/>
      <c r="I1048250" s="275"/>
      <c r="J1048250" s="275"/>
    </row>
    <row r="1048251" customFormat="1" ht="12.75" spans="1:10">
      <c r="A1048251" s="275"/>
      <c r="B1048251" s="275"/>
      <c r="C1048251" s="275"/>
      <c r="D1048251" s="275"/>
      <c r="E1048251" s="406"/>
      <c r="F1048251" s="407"/>
      <c r="G1048251" s="275"/>
      <c r="H1048251" s="275"/>
      <c r="I1048251" s="275"/>
      <c r="J1048251" s="275"/>
    </row>
    <row r="1048252" customFormat="1" ht="12.75" spans="1:10">
      <c r="A1048252" s="275"/>
      <c r="B1048252" s="275"/>
      <c r="C1048252" s="275"/>
      <c r="D1048252" s="275"/>
      <c r="E1048252" s="406"/>
      <c r="F1048252" s="407"/>
      <c r="G1048252" s="275"/>
      <c r="H1048252" s="275"/>
      <c r="I1048252" s="275"/>
      <c r="J1048252" s="275"/>
    </row>
    <row r="1048253" customFormat="1" ht="12.75" spans="1:10">
      <c r="A1048253" s="275"/>
      <c r="B1048253" s="275"/>
      <c r="C1048253" s="275"/>
      <c r="D1048253" s="275"/>
      <c r="E1048253" s="406"/>
      <c r="F1048253" s="407"/>
      <c r="G1048253" s="275"/>
      <c r="H1048253" s="275"/>
      <c r="I1048253" s="275"/>
      <c r="J1048253" s="275"/>
    </row>
    <row r="1048254" customFormat="1" ht="12.75" spans="1:10">
      <c r="A1048254" s="275"/>
      <c r="B1048254" s="275"/>
      <c r="C1048254" s="275"/>
      <c r="D1048254" s="275"/>
      <c r="E1048254" s="406"/>
      <c r="F1048254" s="407"/>
      <c r="G1048254" s="275"/>
      <c r="H1048254" s="275"/>
      <c r="I1048254" s="275"/>
      <c r="J1048254" s="275"/>
    </row>
    <row r="1048255" customFormat="1" ht="12.75" spans="1:10">
      <c r="A1048255" s="275"/>
      <c r="B1048255" s="275"/>
      <c r="C1048255" s="275"/>
      <c r="D1048255" s="275"/>
      <c r="E1048255" s="406"/>
      <c r="F1048255" s="407"/>
      <c r="G1048255" s="275"/>
      <c r="H1048255" s="275"/>
      <c r="I1048255" s="275"/>
      <c r="J1048255" s="275"/>
    </row>
    <row r="1048256" customFormat="1" ht="12.75" spans="1:10">
      <c r="A1048256" s="275"/>
      <c r="B1048256" s="275"/>
      <c r="C1048256" s="275"/>
      <c r="D1048256" s="275"/>
      <c r="E1048256" s="406"/>
      <c r="F1048256" s="407"/>
      <c r="G1048256" s="275"/>
      <c r="H1048256" s="275"/>
      <c r="I1048256" s="275"/>
      <c r="J1048256" s="275"/>
    </row>
    <row r="1048257" customFormat="1" ht="12.75" spans="1:10">
      <c r="A1048257" s="275"/>
      <c r="B1048257" s="275"/>
      <c r="C1048257" s="275"/>
      <c r="D1048257" s="275"/>
      <c r="E1048257" s="406"/>
      <c r="F1048257" s="407"/>
      <c r="G1048257" s="275"/>
      <c r="H1048257" s="275"/>
      <c r="I1048257" s="275"/>
      <c r="J1048257" s="275"/>
    </row>
    <row r="1048258" customFormat="1" ht="12.75" spans="1:10">
      <c r="A1048258" s="275"/>
      <c r="B1048258" s="275"/>
      <c r="C1048258" s="275"/>
      <c r="D1048258" s="275"/>
      <c r="E1048258" s="406"/>
      <c r="F1048258" s="407"/>
      <c r="G1048258" s="275"/>
      <c r="H1048258" s="275"/>
      <c r="I1048258" s="275"/>
      <c r="J1048258" s="275"/>
    </row>
    <row r="1048259" customFormat="1" ht="12.75" spans="1:10">
      <c r="A1048259" s="275"/>
      <c r="B1048259" s="275"/>
      <c r="C1048259" s="275"/>
      <c r="D1048259" s="275"/>
      <c r="E1048259" s="406"/>
      <c r="F1048259" s="407"/>
      <c r="G1048259" s="275"/>
      <c r="H1048259" s="275"/>
      <c r="I1048259" s="275"/>
      <c r="J1048259" s="275"/>
    </row>
    <row r="1048260" customFormat="1" ht="12.75" spans="1:10">
      <c r="A1048260" s="275"/>
      <c r="B1048260" s="275"/>
      <c r="C1048260" s="275"/>
      <c r="D1048260" s="275"/>
      <c r="E1048260" s="406"/>
      <c r="F1048260" s="407"/>
      <c r="G1048260" s="275"/>
      <c r="H1048260" s="275"/>
      <c r="I1048260" s="275"/>
      <c r="J1048260" s="275"/>
    </row>
    <row r="1048261" customFormat="1" ht="12.75" spans="1:10">
      <c r="A1048261" s="275"/>
      <c r="B1048261" s="275"/>
      <c r="C1048261" s="275"/>
      <c r="D1048261" s="275"/>
      <c r="E1048261" s="406"/>
      <c r="F1048261" s="407"/>
      <c r="G1048261" s="275"/>
      <c r="H1048261" s="275"/>
      <c r="I1048261" s="275"/>
      <c r="J1048261" s="275"/>
    </row>
    <row r="1048262" customFormat="1" ht="12.75" spans="1:10">
      <c r="A1048262" s="275"/>
      <c r="B1048262" s="275"/>
      <c r="C1048262" s="275"/>
      <c r="D1048262" s="275"/>
      <c r="E1048262" s="406"/>
      <c r="F1048262" s="407"/>
      <c r="G1048262" s="275"/>
      <c r="H1048262" s="275"/>
      <c r="I1048262" s="275"/>
      <c r="J1048262" s="275"/>
    </row>
    <row r="1048263" customFormat="1" ht="12.75" spans="1:10">
      <c r="A1048263" s="275"/>
      <c r="B1048263" s="275"/>
      <c r="C1048263" s="275"/>
      <c r="D1048263" s="275"/>
      <c r="E1048263" s="406"/>
      <c r="F1048263" s="407"/>
      <c r="G1048263" s="275"/>
      <c r="H1048263" s="275"/>
      <c r="I1048263" s="275"/>
      <c r="J1048263" s="275"/>
    </row>
    <row r="1048264" customFormat="1" ht="12.75" spans="1:10">
      <c r="A1048264" s="275"/>
      <c r="B1048264" s="275"/>
      <c r="C1048264" s="275"/>
      <c r="D1048264" s="275"/>
      <c r="E1048264" s="406"/>
      <c r="F1048264" s="407"/>
      <c r="G1048264" s="275"/>
      <c r="H1048264" s="275"/>
      <c r="I1048264" s="275"/>
      <c r="J1048264" s="275"/>
    </row>
    <row r="1048265" customFormat="1" ht="12.75" spans="1:10">
      <c r="A1048265" s="275"/>
      <c r="B1048265" s="275"/>
      <c r="C1048265" s="275"/>
      <c r="D1048265" s="275"/>
      <c r="E1048265" s="406"/>
      <c r="F1048265" s="407"/>
      <c r="G1048265" s="275"/>
      <c r="H1048265" s="275"/>
      <c r="I1048265" s="275"/>
      <c r="J1048265" s="275"/>
    </row>
    <row r="1048266" customFormat="1" ht="12.75" spans="1:10">
      <c r="A1048266" s="275"/>
      <c r="B1048266" s="275"/>
      <c r="C1048266" s="275"/>
      <c r="D1048266" s="275"/>
      <c r="E1048266" s="406"/>
      <c r="F1048266" s="407"/>
      <c r="G1048266" s="275"/>
      <c r="H1048266" s="275"/>
      <c r="I1048266" s="275"/>
      <c r="J1048266" s="275"/>
    </row>
    <row r="1048267" customFormat="1" ht="12.75" spans="1:10">
      <c r="A1048267" s="275"/>
      <c r="B1048267" s="275"/>
      <c r="C1048267" s="275"/>
      <c r="D1048267" s="275"/>
      <c r="E1048267" s="406"/>
      <c r="F1048267" s="407"/>
      <c r="G1048267" s="275"/>
      <c r="H1048267" s="275"/>
      <c r="I1048267" s="275"/>
      <c r="J1048267" s="275"/>
    </row>
    <row r="1048268" customFormat="1" ht="12.75" spans="1:10">
      <c r="A1048268" s="275"/>
      <c r="B1048268" s="275"/>
      <c r="C1048268" s="275"/>
      <c r="D1048268" s="275"/>
      <c r="E1048268" s="406"/>
      <c r="F1048268" s="407"/>
      <c r="G1048268" s="275"/>
      <c r="H1048268" s="275"/>
      <c r="I1048268" s="275"/>
      <c r="J1048268" s="275"/>
    </row>
    <row r="1048269" customFormat="1" ht="12.75" spans="1:10">
      <c r="A1048269" s="275"/>
      <c r="B1048269" s="275"/>
      <c r="C1048269" s="275"/>
      <c r="D1048269" s="275"/>
      <c r="E1048269" s="406"/>
      <c r="F1048269" s="407"/>
      <c r="G1048269" s="275"/>
      <c r="H1048269" s="275"/>
      <c r="I1048269" s="275"/>
      <c r="J1048269" s="275"/>
    </row>
    <row r="1048270" customFormat="1" ht="12.75" spans="1:10">
      <c r="A1048270" s="275"/>
      <c r="B1048270" s="275"/>
      <c r="C1048270" s="275"/>
      <c r="D1048270" s="275"/>
      <c r="E1048270" s="406"/>
      <c r="F1048270" s="407"/>
      <c r="G1048270" s="275"/>
      <c r="H1048270" s="275"/>
      <c r="I1048270" s="275"/>
      <c r="J1048270" s="275"/>
    </row>
    <row r="1048271" customFormat="1" ht="12.75" spans="1:10">
      <c r="A1048271" s="275"/>
      <c r="B1048271" s="275"/>
      <c r="C1048271" s="275"/>
      <c r="D1048271" s="275"/>
      <c r="E1048271" s="406"/>
      <c r="F1048271" s="407"/>
      <c r="G1048271" s="275"/>
      <c r="H1048271" s="275"/>
      <c r="I1048271" s="275"/>
      <c r="J1048271" s="275"/>
    </row>
    <row r="1048272" customFormat="1" ht="12.75" spans="1:10">
      <c r="A1048272" s="275"/>
      <c r="B1048272" s="275"/>
      <c r="C1048272" s="275"/>
      <c r="D1048272" s="275"/>
      <c r="E1048272" s="406"/>
      <c r="F1048272" s="407"/>
      <c r="G1048272" s="275"/>
      <c r="H1048272" s="275"/>
      <c r="I1048272" s="275"/>
      <c r="J1048272" s="275"/>
    </row>
    <row r="1048273" customFormat="1" ht="12.75" spans="1:10">
      <c r="A1048273" s="275"/>
      <c r="B1048273" s="275"/>
      <c r="C1048273" s="275"/>
      <c r="D1048273" s="275"/>
      <c r="E1048273" s="406"/>
      <c r="F1048273" s="407"/>
      <c r="G1048273" s="275"/>
      <c r="H1048273" s="275"/>
      <c r="I1048273" s="275"/>
      <c r="J1048273" s="275"/>
    </row>
    <row r="1048274" customFormat="1" ht="12.75" spans="1:10">
      <c r="A1048274" s="275"/>
      <c r="B1048274" s="275"/>
      <c r="C1048274" s="275"/>
      <c r="D1048274" s="275"/>
      <c r="E1048274" s="406"/>
      <c r="F1048274" s="407"/>
      <c r="G1048274" s="275"/>
      <c r="H1048274" s="275"/>
      <c r="I1048274" s="275"/>
      <c r="J1048274" s="275"/>
    </row>
    <row r="1048275" customFormat="1" ht="12.75" spans="1:10">
      <c r="A1048275" s="275"/>
      <c r="B1048275" s="275"/>
      <c r="C1048275" s="275"/>
      <c r="D1048275" s="275"/>
      <c r="E1048275" s="406"/>
      <c r="F1048275" s="407"/>
      <c r="G1048275" s="275"/>
      <c r="H1048275" s="275"/>
      <c r="I1048275" s="275"/>
      <c r="J1048275" s="275"/>
    </row>
    <row r="1048276" customFormat="1" ht="12.75" spans="1:10">
      <c r="A1048276" s="275"/>
      <c r="B1048276" s="275"/>
      <c r="C1048276" s="275"/>
      <c r="D1048276" s="275"/>
      <c r="E1048276" s="406"/>
      <c r="F1048276" s="407"/>
      <c r="G1048276" s="275"/>
      <c r="H1048276" s="275"/>
      <c r="I1048276" s="275"/>
      <c r="J1048276" s="275"/>
    </row>
    <row r="1048277" customFormat="1" ht="12.75" spans="1:10">
      <c r="A1048277" s="275"/>
      <c r="B1048277" s="275"/>
      <c r="C1048277" s="275"/>
      <c r="D1048277" s="275"/>
      <c r="E1048277" s="406"/>
      <c r="F1048277" s="407"/>
      <c r="G1048277" s="275"/>
      <c r="H1048277" s="275"/>
      <c r="I1048277" s="275"/>
      <c r="J1048277" s="275"/>
    </row>
    <row r="1048278" customFormat="1" ht="12.75" spans="1:10">
      <c r="A1048278" s="275"/>
      <c r="B1048278" s="275"/>
      <c r="C1048278" s="275"/>
      <c r="D1048278" s="275"/>
      <c r="E1048278" s="406"/>
      <c r="F1048278" s="407"/>
      <c r="G1048278" s="275"/>
      <c r="H1048278" s="275"/>
      <c r="I1048278" s="275"/>
      <c r="J1048278" s="275"/>
    </row>
    <row r="1048279" customFormat="1" ht="12.75" spans="1:10">
      <c r="A1048279" s="275"/>
      <c r="B1048279" s="275"/>
      <c r="C1048279" s="275"/>
      <c r="D1048279" s="275"/>
      <c r="E1048279" s="406"/>
      <c r="F1048279" s="407"/>
      <c r="G1048279" s="275"/>
      <c r="H1048279" s="275"/>
      <c r="I1048279" s="275"/>
      <c r="J1048279" s="275"/>
    </row>
    <row r="1048280" customFormat="1" ht="12.75" spans="1:10">
      <c r="A1048280" s="275"/>
      <c r="B1048280" s="275"/>
      <c r="C1048280" s="275"/>
      <c r="D1048280" s="275"/>
      <c r="E1048280" s="406"/>
      <c r="F1048280" s="407"/>
      <c r="G1048280" s="275"/>
      <c r="H1048280" s="275"/>
      <c r="I1048280" s="275"/>
      <c r="J1048280" s="275"/>
    </row>
    <row r="1048281" customFormat="1" ht="12.75" spans="1:10">
      <c r="A1048281" s="275"/>
      <c r="B1048281" s="275"/>
      <c r="C1048281" s="275"/>
      <c r="D1048281" s="275"/>
      <c r="E1048281" s="406"/>
      <c r="F1048281" s="407"/>
      <c r="G1048281" s="275"/>
      <c r="H1048281" s="275"/>
      <c r="I1048281" s="275"/>
      <c r="J1048281" s="275"/>
    </row>
    <row r="1048282" customFormat="1" ht="12.75" spans="1:10">
      <c r="A1048282" s="275"/>
      <c r="B1048282" s="275"/>
      <c r="C1048282" s="275"/>
      <c r="D1048282" s="275"/>
      <c r="E1048282" s="406"/>
      <c r="F1048282" s="407"/>
      <c r="G1048282" s="275"/>
      <c r="H1048282" s="275"/>
      <c r="I1048282" s="275"/>
      <c r="J1048282" s="275"/>
    </row>
    <row r="1048283" customFormat="1" ht="12.75" spans="1:10">
      <c r="A1048283" s="275"/>
      <c r="B1048283" s="275"/>
      <c r="C1048283" s="275"/>
      <c r="D1048283" s="275"/>
      <c r="E1048283" s="406"/>
      <c r="F1048283" s="407"/>
      <c r="G1048283" s="275"/>
      <c r="H1048283" s="275"/>
      <c r="I1048283" s="275"/>
      <c r="J1048283" s="275"/>
    </row>
    <row r="1048284" customFormat="1" ht="12.75" spans="1:10">
      <c r="A1048284" s="275"/>
      <c r="B1048284" s="275"/>
      <c r="C1048284" s="275"/>
      <c r="D1048284" s="275"/>
      <c r="E1048284" s="406"/>
      <c r="F1048284" s="407"/>
      <c r="G1048284" s="275"/>
      <c r="H1048284" s="275"/>
      <c r="I1048284" s="275"/>
      <c r="J1048284" s="275"/>
    </row>
    <row r="1048285" customFormat="1" ht="12.75" spans="1:10">
      <c r="A1048285" s="275"/>
      <c r="B1048285" s="275"/>
      <c r="C1048285" s="275"/>
      <c r="D1048285" s="275"/>
      <c r="E1048285" s="406"/>
      <c r="F1048285" s="407"/>
      <c r="G1048285" s="275"/>
      <c r="H1048285" s="275"/>
      <c r="I1048285" s="275"/>
      <c r="J1048285" s="275"/>
    </row>
    <row r="1048286" customFormat="1" ht="12.75" spans="1:10">
      <c r="A1048286" s="275"/>
      <c r="B1048286" s="275"/>
      <c r="C1048286" s="275"/>
      <c r="D1048286" s="275"/>
      <c r="E1048286" s="406"/>
      <c r="F1048286" s="407"/>
      <c r="G1048286" s="275"/>
      <c r="H1048286" s="275"/>
      <c r="I1048286" s="275"/>
      <c r="J1048286" s="275"/>
    </row>
    <row r="1048287" customFormat="1" ht="12.75" spans="1:10">
      <c r="A1048287" s="275"/>
      <c r="B1048287" s="275"/>
      <c r="C1048287" s="275"/>
      <c r="D1048287" s="275"/>
      <c r="E1048287" s="406"/>
      <c r="F1048287" s="407"/>
      <c r="G1048287" s="275"/>
      <c r="H1048287" s="275"/>
      <c r="I1048287" s="275"/>
      <c r="J1048287" s="275"/>
    </row>
    <row r="1048288" customFormat="1" ht="12.75" spans="1:10">
      <c r="A1048288" s="275"/>
      <c r="B1048288" s="275"/>
      <c r="C1048288" s="275"/>
      <c r="D1048288" s="275"/>
      <c r="E1048288" s="406"/>
      <c r="F1048288" s="407"/>
      <c r="G1048288" s="275"/>
      <c r="H1048288" s="275"/>
      <c r="I1048288" s="275"/>
      <c r="J1048288" s="275"/>
    </row>
    <row r="1048289" customFormat="1" ht="12.75" spans="1:10">
      <c r="A1048289" s="275"/>
      <c r="B1048289" s="275"/>
      <c r="C1048289" s="275"/>
      <c r="D1048289" s="275"/>
      <c r="E1048289" s="406"/>
      <c r="F1048289" s="407"/>
      <c r="G1048289" s="275"/>
      <c r="H1048289" s="275"/>
      <c r="I1048289" s="275"/>
      <c r="J1048289" s="275"/>
    </row>
    <row r="1048290" customFormat="1" ht="12.75" spans="1:10">
      <c r="A1048290" s="275"/>
      <c r="B1048290" s="275"/>
      <c r="C1048290" s="275"/>
      <c r="D1048290" s="275"/>
      <c r="E1048290" s="406"/>
      <c r="F1048290" s="407"/>
      <c r="G1048290" s="275"/>
      <c r="H1048290" s="275"/>
      <c r="I1048290" s="275"/>
      <c r="J1048290" s="275"/>
    </row>
    <row r="1048291" customFormat="1" ht="12.75" spans="1:10">
      <c r="A1048291" s="275"/>
      <c r="B1048291" s="275"/>
      <c r="C1048291" s="275"/>
      <c r="D1048291" s="275"/>
      <c r="E1048291" s="406"/>
      <c r="F1048291" s="407"/>
      <c r="G1048291" s="275"/>
      <c r="H1048291" s="275"/>
      <c r="I1048291" s="275"/>
      <c r="J1048291" s="275"/>
    </row>
    <row r="1048292" customFormat="1" ht="12.75" spans="1:10">
      <c r="A1048292" s="275"/>
      <c r="B1048292" s="275"/>
      <c r="C1048292" s="275"/>
      <c r="D1048292" s="275"/>
      <c r="E1048292" s="406"/>
      <c r="F1048292" s="407"/>
      <c r="G1048292" s="275"/>
      <c r="H1048292" s="275"/>
      <c r="I1048292" s="275"/>
      <c r="J1048292" s="275"/>
    </row>
    <row r="1048293" customFormat="1" ht="12.75" spans="1:10">
      <c r="A1048293" s="275"/>
      <c r="B1048293" s="275"/>
      <c r="C1048293" s="275"/>
      <c r="D1048293" s="275"/>
      <c r="E1048293" s="406"/>
      <c r="F1048293" s="407"/>
      <c r="G1048293" s="275"/>
      <c r="H1048293" s="275"/>
      <c r="I1048293" s="275"/>
      <c r="J1048293" s="275"/>
    </row>
    <row r="1048294" customFormat="1" ht="12.75" spans="1:10">
      <c r="A1048294" s="275"/>
      <c r="B1048294" s="275"/>
      <c r="C1048294" s="275"/>
      <c r="D1048294" s="275"/>
      <c r="E1048294" s="406"/>
      <c r="F1048294" s="407"/>
      <c r="G1048294" s="275"/>
      <c r="H1048294" s="275"/>
      <c r="I1048294" s="275"/>
      <c r="J1048294" s="275"/>
    </row>
    <row r="1048295" customFormat="1" ht="12.75" spans="1:10">
      <c r="A1048295" s="275"/>
      <c r="B1048295" s="275"/>
      <c r="C1048295" s="275"/>
      <c r="D1048295" s="275"/>
      <c r="E1048295" s="406"/>
      <c r="F1048295" s="407"/>
      <c r="G1048295" s="275"/>
      <c r="H1048295" s="275"/>
      <c r="I1048295" s="275"/>
      <c r="J1048295" s="275"/>
    </row>
    <row r="1048296" customFormat="1" ht="12.75" spans="1:10">
      <c r="A1048296" s="275"/>
      <c r="B1048296" s="275"/>
      <c r="C1048296" s="275"/>
      <c r="D1048296" s="275"/>
      <c r="E1048296" s="406"/>
      <c r="F1048296" s="407"/>
      <c r="G1048296" s="275"/>
      <c r="H1048296" s="275"/>
      <c r="I1048296" s="275"/>
      <c r="J1048296" s="275"/>
    </row>
    <row r="1048297" customFormat="1" ht="12.75" spans="1:10">
      <c r="A1048297" s="275"/>
      <c r="B1048297" s="275"/>
      <c r="C1048297" s="275"/>
      <c r="D1048297" s="275"/>
      <c r="E1048297" s="406"/>
      <c r="F1048297" s="407"/>
      <c r="G1048297" s="275"/>
      <c r="H1048297" s="275"/>
      <c r="I1048297" s="275"/>
      <c r="J1048297" s="275"/>
    </row>
    <row r="1048298" customFormat="1" ht="12.75" spans="1:10">
      <c r="A1048298" s="275"/>
      <c r="B1048298" s="275"/>
      <c r="C1048298" s="275"/>
      <c r="D1048298" s="275"/>
      <c r="E1048298" s="406"/>
      <c r="F1048298" s="407"/>
      <c r="G1048298" s="275"/>
      <c r="H1048298" s="275"/>
      <c r="I1048298" s="275"/>
      <c r="J1048298" s="275"/>
    </row>
    <row r="1048299" customFormat="1" ht="12.75" spans="1:10">
      <c r="A1048299" s="275"/>
      <c r="B1048299" s="275"/>
      <c r="C1048299" s="275"/>
      <c r="D1048299" s="275"/>
      <c r="E1048299" s="406"/>
      <c r="F1048299" s="407"/>
      <c r="G1048299" s="275"/>
      <c r="H1048299" s="275"/>
      <c r="I1048299" s="275"/>
      <c r="J1048299" s="275"/>
    </row>
    <row r="1048300" customFormat="1" ht="12.75" spans="1:10">
      <c r="A1048300" s="275"/>
      <c r="B1048300" s="275"/>
      <c r="C1048300" s="275"/>
      <c r="D1048300" s="275"/>
      <c r="E1048300" s="406"/>
      <c r="F1048300" s="407"/>
      <c r="G1048300" s="275"/>
      <c r="H1048300" s="275"/>
      <c r="I1048300" s="275"/>
      <c r="J1048300" s="275"/>
    </row>
    <row r="1048301" customFormat="1" ht="12.75" spans="1:10">
      <c r="A1048301" s="275"/>
      <c r="B1048301" s="275"/>
      <c r="C1048301" s="275"/>
      <c r="D1048301" s="275"/>
      <c r="E1048301" s="406"/>
      <c r="F1048301" s="407"/>
      <c r="G1048301" s="275"/>
      <c r="H1048301" s="275"/>
      <c r="I1048301" s="275"/>
      <c r="J1048301" s="275"/>
    </row>
    <row r="1048302" customFormat="1" ht="12.75" spans="1:10">
      <c r="A1048302" s="275"/>
      <c r="B1048302" s="275"/>
      <c r="C1048302" s="275"/>
      <c r="D1048302" s="275"/>
      <c r="E1048302" s="406"/>
      <c r="F1048302" s="407"/>
      <c r="G1048302" s="275"/>
      <c r="H1048302" s="275"/>
      <c r="I1048302" s="275"/>
      <c r="J1048302" s="275"/>
    </row>
    <row r="1048303" customFormat="1" ht="12.75" spans="1:10">
      <c r="A1048303" s="275"/>
      <c r="B1048303" s="275"/>
      <c r="C1048303" s="275"/>
      <c r="D1048303" s="275"/>
      <c r="E1048303" s="406"/>
      <c r="F1048303" s="407"/>
      <c r="G1048303" s="275"/>
      <c r="H1048303" s="275"/>
      <c r="I1048303" s="275"/>
      <c r="J1048303" s="275"/>
    </row>
    <row r="1048304" customFormat="1" ht="12.75" spans="1:10">
      <c r="A1048304" s="275"/>
      <c r="B1048304" s="275"/>
      <c r="C1048304" s="275"/>
      <c r="D1048304" s="275"/>
      <c r="E1048304" s="406"/>
      <c r="F1048304" s="407"/>
      <c r="G1048304" s="275"/>
      <c r="H1048304" s="275"/>
      <c r="I1048304" s="275"/>
      <c r="J1048304" s="275"/>
    </row>
    <row r="1048305" customFormat="1" ht="12.75" spans="1:10">
      <c r="A1048305" s="275"/>
      <c r="B1048305" s="275"/>
      <c r="C1048305" s="275"/>
      <c r="D1048305" s="275"/>
      <c r="E1048305" s="406"/>
      <c r="F1048305" s="407"/>
      <c r="G1048305" s="275"/>
      <c r="H1048305" s="275"/>
      <c r="I1048305" s="275"/>
      <c r="J1048305" s="275"/>
    </row>
    <row r="1048306" customFormat="1" ht="12.75" spans="1:10">
      <c r="A1048306" s="275"/>
      <c r="B1048306" s="275"/>
      <c r="C1048306" s="275"/>
      <c r="D1048306" s="275"/>
      <c r="E1048306" s="406"/>
      <c r="F1048306" s="407"/>
      <c r="G1048306" s="275"/>
      <c r="H1048306" s="275"/>
      <c r="I1048306" s="275"/>
      <c r="J1048306" s="275"/>
    </row>
    <row r="1048307" customFormat="1" ht="12.75" spans="1:10">
      <c r="A1048307" s="275"/>
      <c r="B1048307" s="275"/>
      <c r="C1048307" s="275"/>
      <c r="D1048307" s="275"/>
      <c r="E1048307" s="406"/>
      <c r="F1048307" s="407"/>
      <c r="G1048307" s="275"/>
      <c r="H1048307" s="275"/>
      <c r="I1048307" s="275"/>
      <c r="J1048307" s="275"/>
    </row>
    <row r="1048308" customFormat="1" ht="12.75" spans="1:10">
      <c r="A1048308" s="275"/>
      <c r="B1048308" s="275"/>
      <c r="C1048308" s="275"/>
      <c r="D1048308" s="275"/>
      <c r="E1048308" s="406"/>
      <c r="F1048308" s="407"/>
      <c r="G1048308" s="275"/>
      <c r="H1048308" s="275"/>
      <c r="I1048308" s="275"/>
      <c r="J1048308" s="275"/>
    </row>
    <row r="1048309" customFormat="1" ht="12.75" spans="1:10">
      <c r="A1048309" s="275"/>
      <c r="B1048309" s="275"/>
      <c r="C1048309" s="275"/>
      <c r="D1048309" s="275"/>
      <c r="E1048309" s="406"/>
      <c r="F1048309" s="407"/>
      <c r="G1048309" s="275"/>
      <c r="H1048309" s="275"/>
      <c r="I1048309" s="275"/>
      <c r="J1048309" s="275"/>
    </row>
    <row r="1048310" customFormat="1" ht="12.75" spans="1:10">
      <c r="A1048310" s="275"/>
      <c r="B1048310" s="275"/>
      <c r="C1048310" s="275"/>
      <c r="D1048310" s="275"/>
      <c r="E1048310" s="406"/>
      <c r="F1048310" s="407"/>
      <c r="G1048310" s="275"/>
      <c r="H1048310" s="275"/>
      <c r="I1048310" s="275"/>
      <c r="J1048310" s="275"/>
    </row>
    <row r="1048311" customFormat="1" ht="12.75" spans="1:10">
      <c r="A1048311" s="275"/>
      <c r="B1048311" s="275"/>
      <c r="C1048311" s="275"/>
      <c r="D1048311" s="275"/>
      <c r="E1048311" s="406"/>
      <c r="F1048311" s="407"/>
      <c r="G1048311" s="275"/>
      <c r="H1048311" s="275"/>
      <c r="I1048311" s="275"/>
      <c r="J1048311" s="275"/>
    </row>
    <row r="1048312" customFormat="1" ht="12.75" spans="1:10">
      <c r="A1048312" s="275"/>
      <c r="B1048312" s="275"/>
      <c r="C1048312" s="275"/>
      <c r="D1048312" s="275"/>
      <c r="E1048312" s="406"/>
      <c r="F1048312" s="407"/>
      <c r="G1048312" s="275"/>
      <c r="H1048312" s="275"/>
      <c r="I1048312" s="275"/>
      <c r="J1048312" s="275"/>
    </row>
    <row r="1048313" customFormat="1" ht="12.75" spans="1:10">
      <c r="A1048313" s="275"/>
      <c r="B1048313" s="275"/>
      <c r="C1048313" s="275"/>
      <c r="D1048313" s="275"/>
      <c r="E1048313" s="406"/>
      <c r="F1048313" s="407"/>
      <c r="G1048313" s="275"/>
      <c r="H1048313" s="275"/>
      <c r="I1048313" s="275"/>
      <c r="J1048313" s="275"/>
    </row>
    <row r="1048314" customFormat="1" ht="12.75" spans="1:10">
      <c r="A1048314" s="275"/>
      <c r="B1048314" s="275"/>
      <c r="C1048314" s="275"/>
      <c r="D1048314" s="275"/>
      <c r="E1048314" s="406"/>
      <c r="F1048314" s="407"/>
      <c r="G1048314" s="275"/>
      <c r="H1048314" s="275"/>
      <c r="I1048314" s="275"/>
      <c r="J1048314" s="275"/>
    </row>
    <row r="1048315" customFormat="1" ht="12.75" spans="1:10">
      <c r="A1048315" s="275"/>
      <c r="B1048315" s="275"/>
      <c r="C1048315" s="275"/>
      <c r="D1048315" s="275"/>
      <c r="E1048315" s="406"/>
      <c r="F1048315" s="407"/>
      <c r="G1048315" s="275"/>
      <c r="H1048315" s="275"/>
      <c r="I1048315" s="275"/>
      <c r="J1048315" s="275"/>
    </row>
    <row r="1048316" customFormat="1" ht="12.75" spans="1:10">
      <c r="A1048316" s="275"/>
      <c r="B1048316" s="275"/>
      <c r="C1048316" s="275"/>
      <c r="D1048316" s="275"/>
      <c r="E1048316" s="406"/>
      <c r="F1048316" s="407"/>
      <c r="G1048316" s="275"/>
      <c r="H1048316" s="275"/>
      <c r="I1048316" s="275"/>
      <c r="J1048316" s="275"/>
    </row>
    <row r="1048317" customFormat="1" ht="12.75" spans="1:10">
      <c r="A1048317" s="275"/>
      <c r="B1048317" s="275"/>
      <c r="C1048317" s="275"/>
      <c r="D1048317" s="275"/>
      <c r="E1048317" s="406"/>
      <c r="F1048317" s="407"/>
      <c r="G1048317" s="275"/>
      <c r="H1048317" s="275"/>
      <c r="I1048317" s="275"/>
      <c r="J1048317" s="275"/>
    </row>
    <row r="1048318" customFormat="1" ht="12.75" spans="1:10">
      <c r="A1048318" s="275"/>
      <c r="B1048318" s="275"/>
      <c r="C1048318" s="275"/>
      <c r="D1048318" s="275"/>
      <c r="E1048318" s="406"/>
      <c r="F1048318" s="407"/>
      <c r="G1048318" s="275"/>
      <c r="H1048318" s="275"/>
      <c r="I1048318" s="275"/>
      <c r="J1048318" s="275"/>
    </row>
    <row r="1048319" customFormat="1" ht="12.75" spans="1:10">
      <c r="A1048319" s="275"/>
      <c r="B1048319" s="275"/>
      <c r="C1048319" s="275"/>
      <c r="D1048319" s="275"/>
      <c r="E1048319" s="406"/>
      <c r="F1048319" s="407"/>
      <c r="G1048319" s="275"/>
      <c r="H1048319" s="275"/>
      <c r="I1048319" s="275"/>
      <c r="J1048319" s="275"/>
    </row>
    <row r="1048320" customFormat="1" ht="12.75" spans="1:10">
      <c r="A1048320" s="275"/>
      <c r="B1048320" s="275"/>
      <c r="C1048320" s="275"/>
      <c r="D1048320" s="275"/>
      <c r="E1048320" s="406"/>
      <c r="F1048320" s="407"/>
      <c r="G1048320" s="275"/>
      <c r="H1048320" s="275"/>
      <c r="I1048320" s="275"/>
      <c r="J1048320" s="275"/>
    </row>
    <row r="1048321" customFormat="1" ht="12.75" spans="1:10">
      <c r="A1048321" s="275"/>
      <c r="B1048321" s="275"/>
      <c r="C1048321" s="275"/>
      <c r="D1048321" s="275"/>
      <c r="E1048321" s="406"/>
      <c r="F1048321" s="407"/>
      <c r="G1048321" s="275"/>
      <c r="H1048321" s="275"/>
      <c r="I1048321" s="275"/>
      <c r="J1048321" s="275"/>
    </row>
    <row r="1048322" customFormat="1" ht="12.75" spans="1:10">
      <c r="A1048322" s="275"/>
      <c r="B1048322" s="275"/>
      <c r="C1048322" s="275"/>
      <c r="D1048322" s="275"/>
      <c r="E1048322" s="406"/>
      <c r="F1048322" s="407"/>
      <c r="G1048322" s="275"/>
      <c r="H1048322" s="275"/>
      <c r="I1048322" s="275"/>
      <c r="J1048322" s="275"/>
    </row>
    <row r="1048323" customFormat="1" ht="12.75" spans="1:10">
      <c r="A1048323" s="275"/>
      <c r="B1048323" s="275"/>
      <c r="C1048323" s="275"/>
      <c r="D1048323" s="275"/>
      <c r="E1048323" s="406"/>
      <c r="F1048323" s="407"/>
      <c r="G1048323" s="275"/>
      <c r="H1048323" s="275"/>
      <c r="I1048323" s="275"/>
      <c r="J1048323" s="275"/>
    </row>
    <row r="1048324" customFormat="1" ht="12.75" spans="1:10">
      <c r="A1048324" s="275"/>
      <c r="B1048324" s="275"/>
      <c r="C1048324" s="275"/>
      <c r="D1048324" s="275"/>
      <c r="E1048324" s="406"/>
      <c r="F1048324" s="407"/>
      <c r="G1048324" s="275"/>
      <c r="H1048324" s="275"/>
      <c r="I1048324" s="275"/>
      <c r="J1048324" s="275"/>
    </row>
    <row r="1048325" customFormat="1" ht="12.75" spans="1:10">
      <c r="A1048325" s="275"/>
      <c r="B1048325" s="275"/>
      <c r="C1048325" s="275"/>
      <c r="D1048325" s="275"/>
      <c r="E1048325" s="406"/>
      <c r="F1048325" s="407"/>
      <c r="G1048325" s="275"/>
      <c r="H1048325" s="275"/>
      <c r="I1048325" s="275"/>
      <c r="J1048325" s="275"/>
    </row>
    <row r="1048326" customFormat="1" ht="12.75" spans="1:10">
      <c r="A1048326" s="275"/>
      <c r="B1048326" s="275"/>
      <c r="C1048326" s="275"/>
      <c r="D1048326" s="275"/>
      <c r="E1048326" s="406"/>
      <c r="F1048326" s="407"/>
      <c r="G1048326" s="275"/>
      <c r="H1048326" s="275"/>
      <c r="I1048326" s="275"/>
      <c r="J1048326" s="275"/>
    </row>
    <row r="1048327" customFormat="1" ht="12.75" spans="1:10">
      <c r="A1048327" s="275"/>
      <c r="B1048327" s="275"/>
      <c r="C1048327" s="275"/>
      <c r="D1048327" s="275"/>
      <c r="E1048327" s="406"/>
      <c r="F1048327" s="407"/>
      <c r="G1048327" s="275"/>
      <c r="H1048327" s="275"/>
      <c r="I1048327" s="275"/>
      <c r="J1048327" s="275"/>
    </row>
    <row r="1048328" customFormat="1" ht="12.75" spans="1:10">
      <c r="A1048328" s="275"/>
      <c r="B1048328" s="275"/>
      <c r="C1048328" s="275"/>
      <c r="D1048328" s="275"/>
      <c r="E1048328" s="406"/>
      <c r="F1048328" s="407"/>
      <c r="G1048328" s="275"/>
      <c r="H1048328" s="275"/>
      <c r="I1048328" s="275"/>
      <c r="J1048328" s="275"/>
    </row>
    <row r="1048329" customFormat="1" ht="12.75" spans="1:10">
      <c r="A1048329" s="275"/>
      <c r="B1048329" s="275"/>
      <c r="C1048329" s="275"/>
      <c r="D1048329" s="275"/>
      <c r="E1048329" s="406"/>
      <c r="F1048329" s="407"/>
      <c r="G1048329" s="275"/>
      <c r="H1048329" s="275"/>
      <c r="I1048329" s="275"/>
      <c r="J1048329" s="275"/>
    </row>
    <row r="1048330" customFormat="1" ht="12.75" spans="1:10">
      <c r="A1048330" s="275"/>
      <c r="B1048330" s="275"/>
      <c r="C1048330" s="275"/>
      <c r="D1048330" s="275"/>
      <c r="E1048330" s="406"/>
      <c r="F1048330" s="407"/>
      <c r="G1048330" s="275"/>
      <c r="H1048330" s="275"/>
      <c r="I1048330" s="275"/>
      <c r="J1048330" s="275"/>
    </row>
    <row r="1048331" customFormat="1" ht="12.75" spans="1:10">
      <c r="A1048331" s="275"/>
      <c r="B1048331" s="275"/>
      <c r="C1048331" s="275"/>
      <c r="D1048331" s="275"/>
      <c r="E1048331" s="406"/>
      <c r="F1048331" s="407"/>
      <c r="G1048331" s="275"/>
      <c r="H1048331" s="275"/>
      <c r="I1048331" s="275"/>
      <c r="J1048331" s="275"/>
    </row>
    <row r="1048332" customFormat="1" ht="12.75" spans="1:10">
      <c r="A1048332" s="275"/>
      <c r="B1048332" s="275"/>
      <c r="C1048332" s="275"/>
      <c r="D1048332" s="275"/>
      <c r="E1048332" s="406"/>
      <c r="F1048332" s="407"/>
      <c r="G1048332" s="275"/>
      <c r="H1048332" s="275"/>
      <c r="I1048332" s="275"/>
      <c r="J1048332" s="275"/>
    </row>
    <row r="1048333" customFormat="1" ht="12.75" spans="1:10">
      <c r="A1048333" s="275"/>
      <c r="B1048333" s="275"/>
      <c r="C1048333" s="275"/>
      <c r="D1048333" s="275"/>
      <c r="E1048333" s="406"/>
      <c r="F1048333" s="407"/>
      <c r="G1048333" s="275"/>
      <c r="H1048333" s="275"/>
      <c r="I1048333" s="275"/>
      <c r="J1048333" s="275"/>
    </row>
    <row r="1048334" customFormat="1" ht="12.75" spans="1:10">
      <c r="A1048334" s="275"/>
      <c r="B1048334" s="275"/>
      <c r="C1048334" s="275"/>
      <c r="D1048334" s="275"/>
      <c r="E1048334" s="406"/>
      <c r="F1048334" s="407"/>
      <c r="G1048334" s="275"/>
      <c r="H1048334" s="275"/>
      <c r="I1048334" s="275"/>
      <c r="J1048334" s="275"/>
    </row>
    <row r="1048335" customFormat="1" ht="12.75" spans="1:10">
      <c r="A1048335" s="275"/>
      <c r="B1048335" s="275"/>
      <c r="C1048335" s="275"/>
      <c r="D1048335" s="275"/>
      <c r="E1048335" s="406"/>
      <c r="F1048335" s="407"/>
      <c r="G1048335" s="275"/>
      <c r="H1048335" s="275"/>
      <c r="I1048335" s="275"/>
      <c r="J1048335" s="275"/>
    </row>
    <row r="1048336" customFormat="1" ht="12.75" spans="1:10">
      <c r="A1048336" s="275"/>
      <c r="B1048336" s="275"/>
      <c r="C1048336" s="275"/>
      <c r="D1048336" s="275"/>
      <c r="E1048336" s="406"/>
      <c r="F1048336" s="407"/>
      <c r="G1048336" s="275"/>
      <c r="H1048336" s="275"/>
      <c r="I1048336" s="275"/>
      <c r="J1048336" s="275"/>
    </row>
    <row r="1048337" customFormat="1" ht="12.75" spans="1:10">
      <c r="A1048337" s="275"/>
      <c r="B1048337" s="275"/>
      <c r="C1048337" s="275"/>
      <c r="D1048337" s="275"/>
      <c r="E1048337" s="406"/>
      <c r="F1048337" s="407"/>
      <c r="G1048337" s="275"/>
      <c r="H1048337" s="275"/>
      <c r="I1048337" s="275"/>
      <c r="J1048337" s="275"/>
    </row>
    <row r="1048338" customFormat="1" ht="12.75" spans="1:10">
      <c r="A1048338" s="275"/>
      <c r="B1048338" s="275"/>
      <c r="C1048338" s="275"/>
      <c r="D1048338" s="275"/>
      <c r="E1048338" s="406"/>
      <c r="F1048338" s="407"/>
      <c r="G1048338" s="275"/>
      <c r="H1048338" s="275"/>
      <c r="I1048338" s="275"/>
      <c r="J1048338" s="275"/>
    </row>
    <row r="1048339" customFormat="1" ht="12.75" spans="1:10">
      <c r="A1048339" s="275"/>
      <c r="B1048339" s="275"/>
      <c r="C1048339" s="275"/>
      <c r="D1048339" s="275"/>
      <c r="E1048339" s="406"/>
      <c r="F1048339" s="407"/>
      <c r="G1048339" s="275"/>
      <c r="H1048339" s="275"/>
      <c r="I1048339" s="275"/>
      <c r="J1048339" s="275"/>
    </row>
    <row r="1048340" customFormat="1" ht="12.75" spans="1:10">
      <c r="A1048340" s="275"/>
      <c r="B1048340" s="275"/>
      <c r="C1048340" s="275"/>
      <c r="D1048340" s="275"/>
      <c r="E1048340" s="406"/>
      <c r="F1048340" s="407"/>
      <c r="G1048340" s="275"/>
      <c r="H1048340" s="275"/>
      <c r="I1048340" s="275"/>
      <c r="J1048340" s="275"/>
    </row>
    <row r="1048341" customFormat="1" ht="12.75" spans="1:10">
      <c r="A1048341" s="275"/>
      <c r="B1048341" s="275"/>
      <c r="C1048341" s="275"/>
      <c r="D1048341" s="275"/>
      <c r="E1048341" s="406"/>
      <c r="F1048341" s="407"/>
      <c r="G1048341" s="275"/>
      <c r="H1048341" s="275"/>
      <c r="I1048341" s="275"/>
      <c r="J1048341" s="275"/>
    </row>
    <row r="1048342" customFormat="1" ht="12.75" spans="1:10">
      <c r="A1048342" s="275"/>
      <c r="B1048342" s="275"/>
      <c r="C1048342" s="275"/>
      <c r="D1048342" s="275"/>
      <c r="E1048342" s="406"/>
      <c r="F1048342" s="407"/>
      <c r="G1048342" s="275"/>
      <c r="H1048342" s="275"/>
      <c r="I1048342" s="275"/>
      <c r="J1048342" s="275"/>
    </row>
    <row r="1048343" customFormat="1" ht="12.75" spans="1:10">
      <c r="A1048343" s="275"/>
      <c r="B1048343" s="275"/>
      <c r="C1048343" s="275"/>
      <c r="D1048343" s="275"/>
      <c r="E1048343" s="406"/>
      <c r="F1048343" s="407"/>
      <c r="G1048343" s="275"/>
      <c r="H1048343" s="275"/>
      <c r="I1048343" s="275"/>
      <c r="J1048343" s="275"/>
    </row>
    <row r="1048344" customFormat="1" ht="12.75" spans="1:10">
      <c r="A1048344" s="275"/>
      <c r="B1048344" s="275"/>
      <c r="C1048344" s="275"/>
      <c r="D1048344" s="275"/>
      <c r="E1048344" s="406"/>
      <c r="F1048344" s="407"/>
      <c r="G1048344" s="275"/>
      <c r="H1048344" s="275"/>
      <c r="I1048344" s="275"/>
      <c r="J1048344" s="275"/>
    </row>
    <row r="1048345" customFormat="1" ht="12.75" spans="1:10">
      <c r="A1048345" s="275"/>
      <c r="B1048345" s="275"/>
      <c r="C1048345" s="275"/>
      <c r="D1048345" s="275"/>
      <c r="E1048345" s="406"/>
      <c r="F1048345" s="407"/>
      <c r="G1048345" s="275"/>
      <c r="H1048345" s="275"/>
      <c r="I1048345" s="275"/>
      <c r="J1048345" s="275"/>
    </row>
    <row r="1048346" customFormat="1" ht="12.75" spans="1:10">
      <c r="A1048346" s="275"/>
      <c r="B1048346" s="275"/>
      <c r="C1048346" s="275"/>
      <c r="D1048346" s="275"/>
      <c r="E1048346" s="406"/>
      <c r="F1048346" s="407"/>
      <c r="G1048346" s="275"/>
      <c r="H1048346" s="275"/>
      <c r="I1048346" s="275"/>
      <c r="J1048346" s="275"/>
    </row>
    <row r="1048347" customFormat="1" ht="12.75" spans="1:10">
      <c r="A1048347" s="275"/>
      <c r="B1048347" s="275"/>
      <c r="C1048347" s="275"/>
      <c r="D1048347" s="275"/>
      <c r="E1048347" s="406"/>
      <c r="F1048347" s="407"/>
      <c r="G1048347" s="275"/>
      <c r="H1048347" s="275"/>
      <c r="I1048347" s="275"/>
      <c r="J1048347" s="275"/>
    </row>
    <row r="1048348" customFormat="1" ht="12.75" spans="1:10">
      <c r="A1048348" s="275"/>
      <c r="B1048348" s="275"/>
      <c r="C1048348" s="275"/>
      <c r="D1048348" s="275"/>
      <c r="E1048348" s="406"/>
      <c r="F1048348" s="407"/>
      <c r="G1048348" s="275"/>
      <c r="H1048348" s="275"/>
      <c r="I1048348" s="275"/>
      <c r="J1048348" s="275"/>
    </row>
    <row r="1048349" customFormat="1" ht="12.75" spans="1:10">
      <c r="A1048349" s="275"/>
      <c r="B1048349" s="275"/>
      <c r="C1048349" s="275"/>
      <c r="D1048349" s="275"/>
      <c r="E1048349" s="406"/>
      <c r="F1048349" s="407"/>
      <c r="G1048349" s="275"/>
      <c r="H1048349" s="275"/>
      <c r="I1048349" s="275"/>
      <c r="J1048349" s="275"/>
    </row>
    <row r="1048350" customFormat="1" ht="12.75" spans="1:10">
      <c r="A1048350" s="275"/>
      <c r="B1048350" s="275"/>
      <c r="C1048350" s="275"/>
      <c r="D1048350" s="275"/>
      <c r="E1048350" s="406"/>
      <c r="F1048350" s="407"/>
      <c r="G1048350" s="275"/>
      <c r="H1048350" s="275"/>
      <c r="I1048350" s="275"/>
      <c r="J1048350" s="275"/>
    </row>
    <row r="1048351" customFormat="1" ht="12.75" spans="1:10">
      <c r="A1048351" s="275"/>
      <c r="B1048351" s="275"/>
      <c r="C1048351" s="275"/>
      <c r="D1048351" s="275"/>
      <c r="E1048351" s="406"/>
      <c r="F1048351" s="407"/>
      <c r="G1048351" s="275"/>
      <c r="H1048351" s="275"/>
      <c r="I1048351" s="275"/>
      <c r="J1048351" s="275"/>
    </row>
    <row r="1048352" customFormat="1" ht="12.75" spans="1:10">
      <c r="A1048352" s="275"/>
      <c r="B1048352" s="275"/>
      <c r="C1048352" s="275"/>
      <c r="D1048352" s="275"/>
      <c r="E1048352" s="406"/>
      <c r="F1048352" s="407"/>
      <c r="G1048352" s="275"/>
      <c r="H1048352" s="275"/>
      <c r="I1048352" s="275"/>
      <c r="J1048352" s="275"/>
    </row>
    <row r="1048353" customFormat="1" ht="12.75" spans="1:10">
      <c r="A1048353" s="275"/>
      <c r="B1048353" s="275"/>
      <c r="C1048353" s="275"/>
      <c r="D1048353" s="275"/>
      <c r="E1048353" s="406"/>
      <c r="F1048353" s="407"/>
      <c r="G1048353" s="275"/>
      <c r="H1048353" s="275"/>
      <c r="I1048353" s="275"/>
      <c r="J1048353" s="275"/>
    </row>
    <row r="1048354" customFormat="1" ht="12.75" spans="1:10">
      <c r="A1048354" s="275"/>
      <c r="B1048354" s="275"/>
      <c r="C1048354" s="275"/>
      <c r="D1048354" s="275"/>
      <c r="E1048354" s="406"/>
      <c r="F1048354" s="407"/>
      <c r="G1048354" s="275"/>
      <c r="H1048354" s="275"/>
      <c r="I1048354" s="275"/>
      <c r="J1048354" s="275"/>
    </row>
    <row r="1048355" customFormat="1" ht="12.75" spans="1:10">
      <c r="A1048355" s="275"/>
      <c r="B1048355" s="275"/>
      <c r="C1048355" s="275"/>
      <c r="D1048355" s="275"/>
      <c r="E1048355" s="406"/>
      <c r="F1048355" s="407"/>
      <c r="G1048355" s="275"/>
      <c r="H1048355" s="275"/>
      <c r="I1048355" s="275"/>
      <c r="J1048355" s="275"/>
    </row>
    <row r="1048356" customFormat="1" ht="12.75" spans="1:10">
      <c r="A1048356" s="275"/>
      <c r="B1048356" s="275"/>
      <c r="C1048356" s="275"/>
      <c r="D1048356" s="275"/>
      <c r="E1048356" s="406"/>
      <c r="F1048356" s="407"/>
      <c r="G1048356" s="275"/>
      <c r="H1048356" s="275"/>
      <c r="I1048356" s="275"/>
      <c r="J1048356" s="275"/>
    </row>
    <row r="1048357" customFormat="1" ht="12.75" spans="1:10">
      <c r="A1048357" s="275"/>
      <c r="B1048357" s="275"/>
      <c r="C1048357" s="275"/>
      <c r="D1048357" s="275"/>
      <c r="E1048357" s="406"/>
      <c r="F1048357" s="407"/>
      <c r="G1048357" s="275"/>
      <c r="H1048357" s="275"/>
      <c r="I1048357" s="275"/>
      <c r="J1048357" s="275"/>
    </row>
    <row r="1048358" customFormat="1" ht="12.75" spans="1:10">
      <c r="A1048358" s="275"/>
      <c r="B1048358" s="275"/>
      <c r="C1048358" s="275"/>
      <c r="D1048358" s="275"/>
      <c r="E1048358" s="406"/>
      <c r="F1048358" s="407"/>
      <c r="G1048358" s="275"/>
      <c r="H1048358" s="275"/>
      <c r="I1048358" s="275"/>
      <c r="J1048358" s="275"/>
    </row>
    <row r="1048359" customFormat="1" ht="12.75" spans="1:10">
      <c r="A1048359" s="275"/>
      <c r="B1048359" s="275"/>
      <c r="C1048359" s="275"/>
      <c r="D1048359" s="275"/>
      <c r="E1048359" s="406"/>
      <c r="F1048359" s="407"/>
      <c r="G1048359" s="275"/>
      <c r="H1048359" s="275"/>
      <c r="I1048359" s="275"/>
      <c r="J1048359" s="275"/>
    </row>
    <row r="1048360" customFormat="1" ht="12.75" spans="1:10">
      <c r="A1048360" s="275"/>
      <c r="B1048360" s="275"/>
      <c r="C1048360" s="275"/>
      <c r="D1048360" s="275"/>
      <c r="E1048360" s="406"/>
      <c r="F1048360" s="407"/>
      <c r="G1048360" s="275"/>
      <c r="H1048360" s="275"/>
      <c r="I1048360" s="275"/>
      <c r="J1048360" s="275"/>
    </row>
    <row r="1048361" customFormat="1" ht="12.75" spans="1:10">
      <c r="A1048361" s="275"/>
      <c r="B1048361" s="275"/>
      <c r="C1048361" s="275"/>
      <c r="D1048361" s="275"/>
      <c r="E1048361" s="406"/>
      <c r="F1048361" s="407"/>
      <c r="G1048361" s="275"/>
      <c r="H1048361" s="275"/>
      <c r="I1048361" s="275"/>
      <c r="J1048361" s="275"/>
    </row>
    <row r="1048362" customFormat="1" ht="12.75" spans="1:10">
      <c r="A1048362" s="275"/>
      <c r="B1048362" s="275"/>
      <c r="C1048362" s="275"/>
      <c r="D1048362" s="275"/>
      <c r="E1048362" s="406"/>
      <c r="F1048362" s="407"/>
      <c r="G1048362" s="275"/>
      <c r="H1048362" s="275"/>
      <c r="I1048362" s="275"/>
      <c r="J1048362" s="275"/>
    </row>
    <row r="1048363" customFormat="1" ht="12.75" spans="1:10">
      <c r="A1048363" s="275"/>
      <c r="B1048363" s="275"/>
      <c r="C1048363" s="275"/>
      <c r="D1048363" s="275"/>
      <c r="E1048363" s="406"/>
      <c r="F1048363" s="407"/>
      <c r="G1048363" s="275"/>
      <c r="H1048363" s="275"/>
      <c r="I1048363" s="275"/>
      <c r="J1048363" s="275"/>
    </row>
    <row r="1048364" customFormat="1" ht="12.75" spans="1:10">
      <c r="A1048364" s="275"/>
      <c r="B1048364" s="275"/>
      <c r="C1048364" s="275"/>
      <c r="D1048364" s="275"/>
      <c r="E1048364" s="406"/>
      <c r="F1048364" s="407"/>
      <c r="G1048364" s="275"/>
      <c r="H1048364" s="275"/>
      <c r="I1048364" s="275"/>
      <c r="J1048364" s="275"/>
    </row>
    <row r="1048365" customFormat="1" ht="12.75" spans="1:10">
      <c r="A1048365" s="275"/>
      <c r="B1048365" s="275"/>
      <c r="C1048365" s="275"/>
      <c r="D1048365" s="275"/>
      <c r="E1048365" s="406"/>
      <c r="F1048365" s="407"/>
      <c r="G1048365" s="275"/>
      <c r="H1048365" s="275"/>
      <c r="I1048365" s="275"/>
      <c r="J1048365" s="275"/>
    </row>
    <row r="1048366" customFormat="1" ht="12.75" spans="1:10">
      <c r="A1048366" s="275"/>
      <c r="B1048366" s="275"/>
      <c r="C1048366" s="275"/>
      <c r="D1048366" s="275"/>
      <c r="E1048366" s="406"/>
      <c r="F1048366" s="407"/>
      <c r="G1048366" s="275"/>
      <c r="H1048366" s="275"/>
      <c r="I1048366" s="275"/>
      <c r="J1048366" s="275"/>
    </row>
    <row r="1048367" customFormat="1" ht="12.75" spans="1:10">
      <c r="A1048367" s="275"/>
      <c r="B1048367" s="275"/>
      <c r="C1048367" s="275"/>
      <c r="D1048367" s="275"/>
      <c r="E1048367" s="406"/>
      <c r="F1048367" s="407"/>
      <c r="G1048367" s="275"/>
      <c r="H1048367" s="275"/>
      <c r="I1048367" s="275"/>
      <c r="J1048367" s="275"/>
    </row>
    <row r="1048368" customFormat="1" ht="12.75" spans="1:10">
      <c r="A1048368" s="275"/>
      <c r="B1048368" s="275"/>
      <c r="C1048368" s="275"/>
      <c r="D1048368" s="275"/>
      <c r="E1048368" s="406"/>
      <c r="F1048368" s="407"/>
      <c r="G1048368" s="275"/>
      <c r="H1048368" s="275"/>
      <c r="I1048368" s="275"/>
      <c r="J1048368" s="275"/>
    </row>
    <row r="1048369" customFormat="1" ht="12.75" spans="1:10">
      <c r="A1048369" s="275"/>
      <c r="B1048369" s="275"/>
      <c r="C1048369" s="275"/>
      <c r="D1048369" s="275"/>
      <c r="E1048369" s="406"/>
      <c r="F1048369" s="407"/>
      <c r="G1048369" s="275"/>
      <c r="H1048369" s="275"/>
      <c r="I1048369" s="275"/>
      <c r="J1048369" s="275"/>
    </row>
    <row r="1048370" customFormat="1" ht="12.75" spans="1:10">
      <c r="A1048370" s="275"/>
      <c r="B1048370" s="275"/>
      <c r="C1048370" s="275"/>
      <c r="D1048370" s="275"/>
      <c r="E1048370" s="406"/>
      <c r="F1048370" s="407"/>
      <c r="G1048370" s="275"/>
      <c r="H1048370" s="275"/>
      <c r="I1048370" s="275"/>
      <c r="J1048370" s="275"/>
    </row>
    <row r="1048371" customFormat="1" ht="12.75" spans="1:10">
      <c r="A1048371" s="275"/>
      <c r="B1048371" s="275"/>
      <c r="C1048371" s="275"/>
      <c r="D1048371" s="275"/>
      <c r="E1048371" s="406"/>
      <c r="F1048371" s="407"/>
      <c r="G1048371" s="275"/>
      <c r="H1048371" s="275"/>
      <c r="I1048371" s="275"/>
      <c r="J1048371" s="275"/>
    </row>
    <row r="1048372" customFormat="1" ht="12.75" spans="1:10">
      <c r="A1048372" s="275"/>
      <c r="B1048372" s="275"/>
      <c r="C1048372" s="275"/>
      <c r="D1048372" s="275"/>
      <c r="E1048372" s="406"/>
      <c r="F1048372" s="407"/>
      <c r="G1048372" s="275"/>
      <c r="H1048372" s="275"/>
      <c r="I1048372" s="275"/>
      <c r="J1048372" s="275"/>
    </row>
    <row r="1048373" customFormat="1" ht="12.75" spans="1:10">
      <c r="A1048373" s="275"/>
      <c r="B1048373" s="275"/>
      <c r="C1048373" s="275"/>
      <c r="D1048373" s="275"/>
      <c r="E1048373" s="406"/>
      <c r="F1048373" s="407"/>
      <c r="G1048373" s="275"/>
      <c r="H1048373" s="275"/>
      <c r="I1048373" s="275"/>
      <c r="J1048373" s="275"/>
    </row>
    <row r="1048374" customFormat="1" ht="12.75" spans="1:10">
      <c r="A1048374" s="275"/>
      <c r="B1048374" s="275"/>
      <c r="C1048374" s="275"/>
      <c r="D1048374" s="275"/>
      <c r="E1048374" s="406"/>
      <c r="F1048374" s="407"/>
      <c r="G1048374" s="275"/>
      <c r="H1048374" s="275"/>
      <c r="I1048374" s="275"/>
      <c r="J1048374" s="275"/>
    </row>
    <row r="1048375" customFormat="1" ht="12.75" spans="1:10">
      <c r="A1048375" s="275"/>
      <c r="B1048375" s="275"/>
      <c r="C1048375" s="275"/>
      <c r="D1048375" s="275"/>
      <c r="E1048375" s="406"/>
      <c r="F1048375" s="407"/>
      <c r="G1048375" s="275"/>
      <c r="H1048375" s="275"/>
      <c r="I1048375" s="275"/>
      <c r="J1048375" s="275"/>
    </row>
    <row r="1048376" customFormat="1" ht="12.75" spans="1:10">
      <c r="A1048376" s="275"/>
      <c r="B1048376" s="275"/>
      <c r="C1048376" s="275"/>
      <c r="D1048376" s="275"/>
      <c r="E1048376" s="406"/>
      <c r="F1048376" s="407"/>
      <c r="G1048376" s="275"/>
      <c r="H1048376" s="275"/>
      <c r="I1048376" s="275"/>
      <c r="J1048376" s="275"/>
    </row>
    <row r="1048377" customFormat="1" ht="12.75" spans="1:10">
      <c r="A1048377" s="275"/>
      <c r="B1048377" s="275"/>
      <c r="C1048377" s="275"/>
      <c r="D1048377" s="275"/>
      <c r="E1048377" s="406"/>
      <c r="F1048377" s="407"/>
      <c r="G1048377" s="275"/>
      <c r="H1048377" s="275"/>
      <c r="I1048377" s="275"/>
      <c r="J1048377" s="275"/>
    </row>
    <row r="1048378" customFormat="1" ht="12.75" spans="1:10">
      <c r="A1048378" s="275"/>
      <c r="B1048378" s="275"/>
      <c r="C1048378" s="275"/>
      <c r="D1048378" s="275"/>
      <c r="E1048378" s="406"/>
      <c r="F1048378" s="407"/>
      <c r="G1048378" s="275"/>
      <c r="H1048378" s="275"/>
      <c r="I1048378" s="275"/>
      <c r="J1048378" s="275"/>
    </row>
    <row r="1048379" customFormat="1" ht="12.75" spans="1:10">
      <c r="A1048379" s="275"/>
      <c r="B1048379" s="275"/>
      <c r="C1048379" s="275"/>
      <c r="D1048379" s="275"/>
      <c r="E1048379" s="406"/>
      <c r="F1048379" s="407"/>
      <c r="G1048379" s="275"/>
      <c r="H1048379" s="275"/>
      <c r="I1048379" s="275"/>
      <c r="J1048379" s="275"/>
    </row>
    <row r="1048380" customFormat="1" ht="12.75" spans="1:10">
      <c r="A1048380" s="275"/>
      <c r="B1048380" s="275"/>
      <c r="C1048380" s="275"/>
      <c r="D1048380" s="275"/>
      <c r="E1048380" s="406"/>
      <c r="F1048380" s="407"/>
      <c r="G1048380" s="275"/>
      <c r="H1048380" s="275"/>
      <c r="I1048380" s="275"/>
      <c r="J1048380" s="275"/>
    </row>
    <row r="1048381" customFormat="1" ht="12.75" spans="1:10">
      <c r="A1048381" s="275"/>
      <c r="B1048381" s="275"/>
      <c r="C1048381" s="275"/>
      <c r="D1048381" s="275"/>
      <c r="E1048381" s="406"/>
      <c r="F1048381" s="407"/>
      <c r="G1048381" s="275"/>
      <c r="H1048381" s="275"/>
      <c r="I1048381" s="275"/>
      <c r="J1048381" s="275"/>
    </row>
    <row r="1048382" customFormat="1" ht="12.75" spans="1:10">
      <c r="A1048382" s="275"/>
      <c r="B1048382" s="275"/>
      <c r="C1048382" s="275"/>
      <c r="D1048382" s="275"/>
      <c r="E1048382" s="406"/>
      <c r="F1048382" s="407"/>
      <c r="G1048382" s="275"/>
      <c r="H1048382" s="275"/>
      <c r="I1048382" s="275"/>
      <c r="J1048382" s="275"/>
    </row>
    <row r="1048383" customFormat="1" ht="12.75" spans="1:10">
      <c r="A1048383" s="275"/>
      <c r="B1048383" s="275"/>
      <c r="C1048383" s="275"/>
      <c r="D1048383" s="275"/>
      <c r="E1048383" s="406"/>
      <c r="F1048383" s="407"/>
      <c r="G1048383" s="275"/>
      <c r="H1048383" s="275"/>
      <c r="I1048383" s="275"/>
      <c r="J1048383" s="275"/>
    </row>
    <row r="1048384" customFormat="1" ht="12.75" spans="1:10">
      <c r="A1048384" s="275"/>
      <c r="B1048384" s="275"/>
      <c r="C1048384" s="275"/>
      <c r="D1048384" s="275"/>
      <c r="E1048384" s="406"/>
      <c r="F1048384" s="407"/>
      <c r="G1048384" s="275"/>
      <c r="H1048384" s="275"/>
      <c r="I1048384" s="275"/>
      <c r="J1048384" s="275"/>
    </row>
    <row r="1048385" customFormat="1" ht="12.75" spans="1:10">
      <c r="A1048385" s="275"/>
      <c r="B1048385" s="275"/>
      <c r="C1048385" s="275"/>
      <c r="D1048385" s="275"/>
      <c r="E1048385" s="406"/>
      <c r="F1048385" s="407"/>
      <c r="G1048385" s="275"/>
      <c r="H1048385" s="275"/>
      <c r="I1048385" s="275"/>
      <c r="J1048385" s="275"/>
    </row>
    <row r="1048386" customFormat="1" ht="12.75" spans="1:10">
      <c r="A1048386" s="275"/>
      <c r="B1048386" s="275"/>
      <c r="C1048386" s="275"/>
      <c r="D1048386" s="275"/>
      <c r="E1048386" s="406"/>
      <c r="F1048386" s="407"/>
      <c r="G1048386" s="275"/>
      <c r="H1048386" s="275"/>
      <c r="I1048386" s="275"/>
      <c r="J1048386" s="275"/>
    </row>
    <row r="1048387" customFormat="1" ht="12.75" spans="1:10">
      <c r="A1048387" s="275"/>
      <c r="B1048387" s="275"/>
      <c r="C1048387" s="275"/>
      <c r="D1048387" s="275"/>
      <c r="E1048387" s="406"/>
      <c r="F1048387" s="407"/>
      <c r="G1048387" s="275"/>
      <c r="H1048387" s="275"/>
      <c r="I1048387" s="275"/>
      <c r="J1048387" s="275"/>
    </row>
    <row r="1048388" customFormat="1" ht="12.75" spans="1:10">
      <c r="A1048388" s="275"/>
      <c r="B1048388" s="275"/>
      <c r="C1048388" s="275"/>
      <c r="D1048388" s="275"/>
      <c r="E1048388" s="406"/>
      <c r="F1048388" s="407"/>
      <c r="G1048388" s="275"/>
      <c r="H1048388" s="275"/>
      <c r="I1048388" s="275"/>
      <c r="J1048388" s="275"/>
    </row>
    <row r="1048389" customFormat="1" ht="12.75" spans="1:10">
      <c r="A1048389" s="275"/>
      <c r="B1048389" s="275"/>
      <c r="C1048389" s="275"/>
      <c r="D1048389" s="275"/>
      <c r="E1048389" s="406"/>
      <c r="F1048389" s="407"/>
      <c r="G1048389" s="275"/>
      <c r="H1048389" s="275"/>
      <c r="I1048389" s="275"/>
      <c r="J1048389" s="275"/>
    </row>
    <row r="1048390" customFormat="1" ht="12.75" spans="1:10">
      <c r="A1048390" s="275"/>
      <c r="B1048390" s="275"/>
      <c r="C1048390" s="275"/>
      <c r="D1048390" s="275"/>
      <c r="E1048390" s="406"/>
      <c r="F1048390" s="407"/>
      <c r="G1048390" s="275"/>
      <c r="H1048390" s="275"/>
      <c r="I1048390" s="275"/>
      <c r="J1048390" s="275"/>
    </row>
    <row r="1048391" customFormat="1" ht="12.75" spans="1:10">
      <c r="A1048391" s="275"/>
      <c r="B1048391" s="275"/>
      <c r="C1048391" s="275"/>
      <c r="D1048391" s="275"/>
      <c r="E1048391" s="406"/>
      <c r="F1048391" s="407"/>
      <c r="G1048391" s="275"/>
      <c r="H1048391" s="275"/>
      <c r="I1048391" s="275"/>
      <c r="J1048391" s="275"/>
    </row>
    <row r="1048392" customFormat="1" ht="12.75" spans="1:10">
      <c r="A1048392" s="275"/>
      <c r="B1048392" s="275"/>
      <c r="C1048392" s="275"/>
      <c r="D1048392" s="275"/>
      <c r="E1048392" s="406"/>
      <c r="F1048392" s="407"/>
      <c r="G1048392" s="275"/>
      <c r="H1048392" s="275"/>
      <c r="I1048392" s="275"/>
      <c r="J1048392" s="275"/>
    </row>
    <row r="1048393" customFormat="1" ht="12.75" spans="1:10">
      <c r="A1048393" s="275"/>
      <c r="B1048393" s="275"/>
      <c r="C1048393" s="275"/>
      <c r="D1048393" s="275"/>
      <c r="E1048393" s="406"/>
      <c r="F1048393" s="407"/>
      <c r="G1048393" s="275"/>
      <c r="H1048393" s="275"/>
      <c r="I1048393" s="275"/>
      <c r="J1048393" s="275"/>
    </row>
    <row r="1048394" customFormat="1" ht="12.75" spans="1:10">
      <c r="A1048394" s="275"/>
      <c r="B1048394" s="275"/>
      <c r="C1048394" s="275"/>
      <c r="D1048394" s="275"/>
      <c r="E1048394" s="406"/>
      <c r="F1048394" s="407"/>
      <c r="G1048394" s="275"/>
      <c r="H1048394" s="275"/>
      <c r="I1048394" s="275"/>
      <c r="J1048394" s="275"/>
    </row>
    <row r="1048395" customFormat="1" ht="12.75" spans="1:10">
      <c r="A1048395" s="275"/>
      <c r="B1048395" s="275"/>
      <c r="C1048395" s="275"/>
      <c r="D1048395" s="275"/>
      <c r="E1048395" s="406"/>
      <c r="F1048395" s="407"/>
      <c r="G1048395" s="275"/>
      <c r="H1048395" s="275"/>
      <c r="I1048395" s="275"/>
      <c r="J1048395" s="275"/>
    </row>
    <row r="1048396" customFormat="1" ht="12.75" spans="1:10">
      <c r="A1048396" s="275"/>
      <c r="B1048396" s="275"/>
      <c r="C1048396" s="275"/>
      <c r="D1048396" s="275"/>
      <c r="E1048396" s="406"/>
      <c r="F1048396" s="407"/>
      <c r="G1048396" s="275"/>
      <c r="H1048396" s="275"/>
      <c r="I1048396" s="275"/>
      <c r="J1048396" s="275"/>
    </row>
    <row r="1048397" customFormat="1" ht="12.75" spans="1:10">
      <c r="A1048397" s="275"/>
      <c r="B1048397" s="275"/>
      <c r="C1048397" s="275"/>
      <c r="D1048397" s="275"/>
      <c r="E1048397" s="406"/>
      <c r="F1048397" s="407"/>
      <c r="G1048397" s="275"/>
      <c r="H1048397" s="275"/>
      <c r="I1048397" s="275"/>
      <c r="J1048397" s="275"/>
    </row>
    <row r="1048398" customFormat="1" ht="12.75" spans="1:10">
      <c r="A1048398" s="275"/>
      <c r="B1048398" s="275"/>
      <c r="C1048398" s="275"/>
      <c r="D1048398" s="275"/>
      <c r="E1048398" s="406"/>
      <c r="F1048398" s="407"/>
      <c r="G1048398" s="275"/>
      <c r="H1048398" s="275"/>
      <c r="I1048398" s="275"/>
      <c r="J1048398" s="275"/>
    </row>
    <row r="1048399" customFormat="1" ht="12.75" spans="1:10">
      <c r="A1048399" s="275"/>
      <c r="B1048399" s="275"/>
      <c r="C1048399" s="275"/>
      <c r="D1048399" s="275"/>
      <c r="E1048399" s="406"/>
      <c r="F1048399" s="407"/>
      <c r="G1048399" s="275"/>
      <c r="H1048399" s="275"/>
      <c r="I1048399" s="275"/>
      <c r="J1048399" s="275"/>
    </row>
    <row r="1048400" customFormat="1" ht="12.75" spans="1:10">
      <c r="A1048400" s="275"/>
      <c r="B1048400" s="275"/>
      <c r="C1048400" s="275"/>
      <c r="D1048400" s="275"/>
      <c r="E1048400" s="406"/>
      <c r="F1048400" s="407"/>
      <c r="G1048400" s="275"/>
      <c r="H1048400" s="275"/>
      <c r="I1048400" s="275"/>
      <c r="J1048400" s="275"/>
    </row>
    <row r="1048401" customFormat="1" ht="12.75" spans="1:10">
      <c r="A1048401" s="275"/>
      <c r="B1048401" s="275"/>
      <c r="C1048401" s="275"/>
      <c r="D1048401" s="275"/>
      <c r="E1048401" s="406"/>
      <c r="F1048401" s="407"/>
      <c r="G1048401" s="275"/>
      <c r="H1048401" s="275"/>
      <c r="I1048401" s="275"/>
      <c r="J1048401" s="275"/>
    </row>
    <row r="1048402" customFormat="1" ht="12.75" spans="1:10">
      <c r="A1048402" s="275"/>
      <c r="B1048402" s="275"/>
      <c r="C1048402" s="275"/>
      <c r="D1048402" s="275"/>
      <c r="E1048402" s="406"/>
      <c r="F1048402" s="407"/>
      <c r="G1048402" s="275"/>
      <c r="H1048402" s="275"/>
      <c r="I1048402" s="275"/>
      <c r="J1048402" s="275"/>
    </row>
    <row r="1048403" customFormat="1" ht="12.75" spans="1:10">
      <c r="A1048403" s="275"/>
      <c r="B1048403" s="275"/>
      <c r="C1048403" s="275"/>
      <c r="D1048403" s="275"/>
      <c r="E1048403" s="406"/>
      <c r="F1048403" s="407"/>
      <c r="G1048403" s="275"/>
      <c r="H1048403" s="275"/>
      <c r="I1048403" s="275"/>
      <c r="J1048403" s="275"/>
    </row>
    <row r="1048404" customFormat="1" ht="12.75" spans="1:10">
      <c r="A1048404" s="275"/>
      <c r="B1048404" s="275"/>
      <c r="C1048404" s="275"/>
      <c r="D1048404" s="275"/>
      <c r="E1048404" s="406"/>
      <c r="F1048404" s="407"/>
      <c r="G1048404" s="275"/>
      <c r="H1048404" s="275"/>
      <c r="I1048404" s="275"/>
      <c r="J1048404" s="275"/>
    </row>
    <row r="1048405" customFormat="1" ht="12.75" spans="1:10">
      <c r="A1048405" s="275"/>
      <c r="B1048405" s="275"/>
      <c r="C1048405" s="275"/>
      <c r="D1048405" s="275"/>
      <c r="E1048405" s="406"/>
      <c r="F1048405" s="407"/>
      <c r="G1048405" s="275"/>
      <c r="H1048405" s="275"/>
      <c r="I1048405" s="275"/>
      <c r="J1048405" s="275"/>
    </row>
    <row r="1048406" customFormat="1" ht="12.75" spans="1:10">
      <c r="A1048406" s="275"/>
      <c r="B1048406" s="275"/>
      <c r="C1048406" s="275"/>
      <c r="D1048406" s="275"/>
      <c r="E1048406" s="406"/>
      <c r="F1048406" s="407"/>
      <c r="G1048406" s="275"/>
      <c r="H1048406" s="275"/>
      <c r="I1048406" s="275"/>
      <c r="J1048406" s="275"/>
    </row>
    <row r="1048407" customFormat="1" ht="12.75" spans="1:10">
      <c r="A1048407" s="275"/>
      <c r="B1048407" s="275"/>
      <c r="C1048407" s="275"/>
      <c r="D1048407" s="275"/>
      <c r="E1048407" s="406"/>
      <c r="F1048407" s="407"/>
      <c r="G1048407" s="275"/>
      <c r="H1048407" s="275"/>
      <c r="I1048407" s="275"/>
      <c r="J1048407" s="275"/>
    </row>
    <row r="1048408" customFormat="1" ht="12.75" spans="1:10">
      <c r="A1048408" s="275"/>
      <c r="B1048408" s="275"/>
      <c r="C1048408" s="275"/>
      <c r="D1048408" s="275"/>
      <c r="E1048408" s="406"/>
      <c r="F1048408" s="407"/>
      <c r="G1048408" s="275"/>
      <c r="H1048408" s="275"/>
      <c r="I1048408" s="275"/>
      <c r="J1048408" s="275"/>
    </row>
    <row r="1048409" customFormat="1" ht="12.75" spans="1:10">
      <c r="A1048409" s="275"/>
      <c r="B1048409" s="275"/>
      <c r="C1048409" s="275"/>
      <c r="D1048409" s="275"/>
      <c r="E1048409" s="406"/>
      <c r="F1048409" s="407"/>
      <c r="G1048409" s="275"/>
      <c r="H1048409" s="275"/>
      <c r="I1048409" s="275"/>
      <c r="J1048409" s="275"/>
    </row>
    <row r="1048410" customFormat="1" ht="12.75" spans="1:10">
      <c r="A1048410" s="275"/>
      <c r="B1048410" s="275"/>
      <c r="C1048410" s="275"/>
      <c r="D1048410" s="275"/>
      <c r="E1048410" s="406"/>
      <c r="F1048410" s="407"/>
      <c r="G1048410" s="275"/>
      <c r="H1048410" s="275"/>
      <c r="I1048410" s="275"/>
      <c r="J1048410" s="275"/>
    </row>
    <row r="1048411" customFormat="1" ht="12.75" spans="1:10">
      <c r="A1048411" s="275"/>
      <c r="B1048411" s="275"/>
      <c r="C1048411" s="275"/>
      <c r="D1048411" s="275"/>
      <c r="E1048411" s="406"/>
      <c r="F1048411" s="407"/>
      <c r="G1048411" s="275"/>
      <c r="H1048411" s="275"/>
      <c r="I1048411" s="275"/>
      <c r="J1048411" s="275"/>
    </row>
    <row r="1048412" customFormat="1" ht="12.75" spans="1:10">
      <c r="A1048412" s="275"/>
      <c r="B1048412" s="275"/>
      <c r="C1048412" s="275"/>
      <c r="D1048412" s="275"/>
      <c r="E1048412" s="406"/>
      <c r="F1048412" s="407"/>
      <c r="G1048412" s="275"/>
      <c r="H1048412" s="275"/>
      <c r="I1048412" s="275"/>
      <c r="J1048412" s="275"/>
    </row>
    <row r="1048413" customFormat="1" ht="12.75" spans="1:10">
      <c r="A1048413" s="275"/>
      <c r="B1048413" s="275"/>
      <c r="C1048413" s="275"/>
      <c r="D1048413" s="275"/>
      <c r="E1048413" s="406"/>
      <c r="F1048413" s="407"/>
      <c r="G1048413" s="275"/>
      <c r="H1048413" s="275"/>
      <c r="I1048413" s="275"/>
      <c r="J1048413" s="275"/>
    </row>
    <row r="1048414" customFormat="1" ht="12.75" spans="1:10">
      <c r="A1048414" s="275"/>
      <c r="B1048414" s="275"/>
      <c r="C1048414" s="275"/>
      <c r="D1048414" s="275"/>
      <c r="E1048414" s="406"/>
      <c r="F1048414" s="407"/>
      <c r="G1048414" s="275"/>
      <c r="H1048414" s="275"/>
      <c r="I1048414" s="275"/>
      <c r="J1048414" s="275"/>
    </row>
    <row r="1048415" customFormat="1" ht="12.75" spans="1:10">
      <c r="A1048415" s="275"/>
      <c r="B1048415" s="275"/>
      <c r="C1048415" s="275"/>
      <c r="D1048415" s="275"/>
      <c r="E1048415" s="406"/>
      <c r="F1048415" s="407"/>
      <c r="G1048415" s="275"/>
      <c r="H1048415" s="275"/>
      <c r="I1048415" s="275"/>
      <c r="J1048415" s="275"/>
    </row>
    <row r="1048416" customFormat="1" ht="12.75" spans="1:10">
      <c r="A1048416" s="275"/>
      <c r="B1048416" s="275"/>
      <c r="C1048416" s="275"/>
      <c r="D1048416" s="275"/>
      <c r="E1048416" s="406"/>
      <c r="F1048416" s="407"/>
      <c r="G1048416" s="275"/>
      <c r="H1048416" s="275"/>
      <c r="I1048416" s="275"/>
      <c r="J1048416" s="275"/>
    </row>
    <row r="1048417" customFormat="1" ht="12.75" spans="1:10">
      <c r="A1048417" s="275"/>
      <c r="B1048417" s="275"/>
      <c r="C1048417" s="275"/>
      <c r="D1048417" s="275"/>
      <c r="E1048417" s="406"/>
      <c r="F1048417" s="407"/>
      <c r="G1048417" s="275"/>
      <c r="H1048417" s="275"/>
      <c r="I1048417" s="275"/>
      <c r="J1048417" s="275"/>
    </row>
    <row r="1048418" customFormat="1" ht="12.75" spans="1:10">
      <c r="A1048418" s="275"/>
      <c r="B1048418" s="275"/>
      <c r="C1048418" s="275"/>
      <c r="D1048418" s="275"/>
      <c r="E1048418" s="406"/>
      <c r="F1048418" s="407"/>
      <c r="G1048418" s="275"/>
      <c r="H1048418" s="275"/>
      <c r="I1048418" s="275"/>
      <c r="J1048418" s="275"/>
    </row>
    <row r="1048419" customFormat="1" ht="12.75" spans="1:10">
      <c r="A1048419" s="275"/>
      <c r="B1048419" s="275"/>
      <c r="C1048419" s="275"/>
      <c r="D1048419" s="275"/>
      <c r="E1048419" s="406"/>
      <c r="F1048419" s="407"/>
      <c r="G1048419" s="275"/>
      <c r="H1048419" s="275"/>
      <c r="I1048419" s="275"/>
      <c r="J1048419" s="275"/>
    </row>
    <row r="1048420" customFormat="1" ht="12.75" spans="1:10">
      <c r="A1048420" s="275"/>
      <c r="B1048420" s="275"/>
      <c r="C1048420" s="275"/>
      <c r="D1048420" s="275"/>
      <c r="E1048420" s="406"/>
      <c r="F1048420" s="407"/>
      <c r="G1048420" s="275"/>
      <c r="H1048420" s="275"/>
      <c r="I1048420" s="275"/>
      <c r="J1048420" s="275"/>
    </row>
    <row r="1048421" customFormat="1" ht="12.75" spans="1:10">
      <c r="A1048421" s="275"/>
      <c r="B1048421" s="275"/>
      <c r="C1048421" s="275"/>
      <c r="D1048421" s="275"/>
      <c r="E1048421" s="406"/>
      <c r="F1048421" s="407"/>
      <c r="G1048421" s="275"/>
      <c r="H1048421" s="275"/>
      <c r="I1048421" s="275"/>
      <c r="J1048421" s="275"/>
    </row>
    <row r="1048422" customFormat="1" ht="12.75" spans="1:10">
      <c r="A1048422" s="275"/>
      <c r="B1048422" s="275"/>
      <c r="C1048422" s="275"/>
      <c r="D1048422" s="275"/>
      <c r="E1048422" s="406"/>
      <c r="F1048422" s="407"/>
      <c r="G1048422" s="275"/>
      <c r="H1048422" s="275"/>
      <c r="I1048422" s="275"/>
      <c r="J1048422" s="275"/>
    </row>
    <row r="1048423" customFormat="1" ht="12.75" spans="1:10">
      <c r="A1048423" s="275"/>
      <c r="B1048423" s="275"/>
      <c r="C1048423" s="275"/>
      <c r="D1048423" s="275"/>
      <c r="E1048423" s="406"/>
      <c r="F1048423" s="407"/>
      <c r="G1048423" s="275"/>
      <c r="H1048423" s="275"/>
      <c r="I1048423" s="275"/>
      <c r="J1048423" s="275"/>
    </row>
    <row r="1048424" customFormat="1" ht="12.75" spans="1:10">
      <c r="A1048424" s="275"/>
      <c r="B1048424" s="275"/>
      <c r="C1048424" s="275"/>
      <c r="D1048424" s="275"/>
      <c r="E1048424" s="406"/>
      <c r="F1048424" s="407"/>
      <c r="G1048424" s="275"/>
      <c r="H1048424" s="275"/>
      <c r="I1048424" s="275"/>
      <c r="J1048424" s="275"/>
    </row>
    <row r="1048425" customFormat="1" ht="12.75" spans="1:10">
      <c r="A1048425" s="275"/>
      <c r="B1048425" s="275"/>
      <c r="C1048425" s="275"/>
      <c r="D1048425" s="275"/>
      <c r="E1048425" s="406"/>
      <c r="F1048425" s="407"/>
      <c r="G1048425" s="275"/>
      <c r="H1048425" s="275"/>
      <c r="I1048425" s="275"/>
      <c r="J1048425" s="275"/>
    </row>
    <row r="1048426" customFormat="1" ht="12.75" spans="1:10">
      <c r="A1048426" s="275"/>
      <c r="B1048426" s="275"/>
      <c r="C1048426" s="275"/>
      <c r="D1048426" s="275"/>
      <c r="E1048426" s="406"/>
      <c r="F1048426" s="407"/>
      <c r="G1048426" s="275"/>
      <c r="H1048426" s="275"/>
      <c r="I1048426" s="275"/>
      <c r="J1048426" s="275"/>
    </row>
    <row r="1048427" customFormat="1" ht="12.75" spans="1:10">
      <c r="A1048427" s="275"/>
      <c r="B1048427" s="275"/>
      <c r="C1048427" s="275"/>
      <c r="D1048427" s="275"/>
      <c r="E1048427" s="406"/>
      <c r="F1048427" s="407"/>
      <c r="G1048427" s="275"/>
      <c r="H1048427" s="275"/>
      <c r="I1048427" s="275"/>
      <c r="J1048427" s="275"/>
    </row>
    <row r="1048428" customFormat="1" ht="12.75" spans="1:10">
      <c r="A1048428" s="275"/>
      <c r="B1048428" s="275"/>
      <c r="C1048428" s="275"/>
      <c r="D1048428" s="275"/>
      <c r="E1048428" s="406"/>
      <c r="F1048428" s="407"/>
      <c r="G1048428" s="275"/>
      <c r="H1048428" s="275"/>
      <c r="I1048428" s="275"/>
      <c r="J1048428" s="275"/>
    </row>
    <row r="1048429" customFormat="1" ht="12.75" spans="1:10">
      <c r="A1048429" s="275"/>
      <c r="B1048429" s="275"/>
      <c r="C1048429" s="275"/>
      <c r="D1048429" s="275"/>
      <c r="E1048429" s="406"/>
      <c r="F1048429" s="407"/>
      <c r="G1048429" s="275"/>
      <c r="H1048429" s="275"/>
      <c r="I1048429" s="275"/>
      <c r="J1048429" s="275"/>
    </row>
    <row r="1048430" customFormat="1" ht="12.75" spans="1:10">
      <c r="A1048430" s="275"/>
      <c r="B1048430" s="275"/>
      <c r="C1048430" s="275"/>
      <c r="D1048430" s="275"/>
      <c r="E1048430" s="406"/>
      <c r="F1048430" s="407"/>
      <c r="G1048430" s="275"/>
      <c r="H1048430" s="275"/>
      <c r="I1048430" s="275"/>
      <c r="J1048430" s="275"/>
    </row>
    <row r="1048431" customFormat="1" ht="12.75" spans="1:10">
      <c r="A1048431" s="275"/>
      <c r="B1048431" s="275"/>
      <c r="C1048431" s="275"/>
      <c r="D1048431" s="275"/>
      <c r="E1048431" s="406"/>
      <c r="F1048431" s="407"/>
      <c r="G1048431" s="275"/>
      <c r="H1048431" s="275"/>
      <c r="I1048431" s="275"/>
      <c r="J1048431" s="275"/>
    </row>
    <row r="1048432" customFormat="1" ht="12.75" spans="1:10">
      <c r="A1048432" s="275"/>
      <c r="B1048432" s="275"/>
      <c r="C1048432" s="275"/>
      <c r="D1048432" s="275"/>
      <c r="E1048432" s="406"/>
      <c r="F1048432" s="407"/>
      <c r="G1048432" s="275"/>
      <c r="H1048432" s="275"/>
      <c r="I1048432" s="275"/>
      <c r="J1048432" s="275"/>
    </row>
    <row r="1048433" customFormat="1" ht="12.75" spans="1:10">
      <c r="A1048433" s="275"/>
      <c r="B1048433" s="275"/>
      <c r="C1048433" s="275"/>
      <c r="D1048433" s="275"/>
      <c r="E1048433" s="406"/>
      <c r="F1048433" s="407"/>
      <c r="G1048433" s="275"/>
      <c r="H1048433" s="275"/>
      <c r="I1048433" s="275"/>
      <c r="J1048433" s="275"/>
    </row>
    <row r="1048434" customFormat="1" ht="12.75" spans="1:10">
      <c r="A1048434" s="275"/>
      <c r="B1048434" s="275"/>
      <c r="C1048434" s="275"/>
      <c r="D1048434" s="275"/>
      <c r="E1048434" s="406"/>
      <c r="F1048434" s="407"/>
      <c r="G1048434" s="275"/>
      <c r="H1048434" s="275"/>
      <c r="I1048434" s="275"/>
      <c r="J1048434" s="275"/>
    </row>
    <row r="1048435" customFormat="1" ht="12.75" spans="1:10">
      <c r="A1048435" s="275"/>
      <c r="B1048435" s="275"/>
      <c r="C1048435" s="275"/>
      <c r="D1048435" s="275"/>
      <c r="E1048435" s="406"/>
      <c r="F1048435" s="407"/>
      <c r="G1048435" s="275"/>
      <c r="H1048435" s="275"/>
      <c r="I1048435" s="275"/>
      <c r="J1048435" s="275"/>
    </row>
    <row r="1048436" customFormat="1" ht="12.75" spans="1:10">
      <c r="A1048436" s="275"/>
      <c r="B1048436" s="275"/>
      <c r="C1048436" s="275"/>
      <c r="D1048436" s="275"/>
      <c r="E1048436" s="406"/>
      <c r="F1048436" s="407"/>
      <c r="G1048436" s="275"/>
      <c r="H1048436" s="275"/>
      <c r="I1048436" s="275"/>
      <c r="J1048436" s="275"/>
    </row>
    <row r="1048437" customFormat="1" ht="12.75" spans="1:10">
      <c r="A1048437" s="275"/>
      <c r="B1048437" s="275"/>
      <c r="C1048437" s="275"/>
      <c r="D1048437" s="275"/>
      <c r="E1048437" s="406"/>
      <c r="F1048437" s="407"/>
      <c r="G1048437" s="275"/>
      <c r="H1048437" s="275"/>
      <c r="I1048437" s="275"/>
      <c r="J1048437" s="275"/>
    </row>
    <row r="1048438" customFormat="1" ht="12.75" spans="1:10">
      <c r="A1048438" s="275"/>
      <c r="B1048438" s="275"/>
      <c r="C1048438" s="275"/>
      <c r="D1048438" s="275"/>
      <c r="E1048438" s="406"/>
      <c r="F1048438" s="407"/>
      <c r="G1048438" s="275"/>
      <c r="H1048438" s="275"/>
      <c r="I1048438" s="275"/>
      <c r="J1048438" s="275"/>
    </row>
    <row r="1048439" customFormat="1" ht="12.75" spans="1:10">
      <c r="A1048439" s="275"/>
      <c r="B1048439" s="275"/>
      <c r="C1048439" s="275"/>
      <c r="D1048439" s="275"/>
      <c r="E1048439" s="406"/>
      <c r="F1048439" s="407"/>
      <c r="G1048439" s="275"/>
      <c r="H1048439" s="275"/>
      <c r="I1048439" s="275"/>
      <c r="J1048439" s="275"/>
    </row>
    <row r="1048440" customFormat="1" ht="12.75" spans="1:10">
      <c r="A1048440" s="275"/>
      <c r="B1048440" s="275"/>
      <c r="C1048440" s="275"/>
      <c r="D1048440" s="275"/>
      <c r="E1048440" s="406"/>
      <c r="F1048440" s="407"/>
      <c r="G1048440" s="275"/>
      <c r="H1048440" s="275"/>
      <c r="I1048440" s="275"/>
      <c r="J1048440" s="275"/>
    </row>
    <row r="1048441" customFormat="1" ht="12.75" spans="1:10">
      <c r="A1048441" s="275"/>
      <c r="B1048441" s="275"/>
      <c r="C1048441" s="275"/>
      <c r="D1048441" s="275"/>
      <c r="E1048441" s="406"/>
      <c r="F1048441" s="407"/>
      <c r="G1048441" s="275"/>
      <c r="H1048441" s="275"/>
      <c r="I1048441" s="275"/>
      <c r="J1048441" s="275"/>
    </row>
    <row r="1048442" customFormat="1" ht="12.75" spans="1:10">
      <c r="A1048442" s="275"/>
      <c r="B1048442" s="275"/>
      <c r="C1048442" s="275"/>
      <c r="D1048442" s="275"/>
      <c r="E1048442" s="406"/>
      <c r="F1048442" s="407"/>
      <c r="G1048442" s="275"/>
      <c r="H1048442" s="275"/>
      <c r="I1048442" s="275"/>
      <c r="J1048442" s="275"/>
    </row>
    <row r="1048443" customFormat="1" ht="12.75" spans="1:10">
      <c r="A1048443" s="275"/>
      <c r="B1048443" s="275"/>
      <c r="C1048443" s="275"/>
      <c r="D1048443" s="275"/>
      <c r="E1048443" s="406"/>
      <c r="F1048443" s="407"/>
      <c r="G1048443" s="275"/>
      <c r="H1048443" s="275"/>
      <c r="I1048443" s="275"/>
      <c r="J1048443" s="275"/>
    </row>
    <row r="1048444" customFormat="1" ht="12.75" spans="1:10">
      <c r="A1048444" s="275"/>
      <c r="B1048444" s="275"/>
      <c r="C1048444" s="275"/>
      <c r="D1048444" s="275"/>
      <c r="E1048444" s="406"/>
      <c r="F1048444" s="407"/>
      <c r="G1048444" s="275"/>
      <c r="H1048444" s="275"/>
      <c r="I1048444" s="275"/>
      <c r="J1048444" s="275"/>
    </row>
    <row r="1048445" customFormat="1" ht="12.75" spans="1:10">
      <c r="A1048445" s="275"/>
      <c r="B1048445" s="275"/>
      <c r="C1048445" s="275"/>
      <c r="D1048445" s="275"/>
      <c r="E1048445" s="406"/>
      <c r="F1048445" s="407"/>
      <c r="G1048445" s="275"/>
      <c r="H1048445" s="275"/>
      <c r="I1048445" s="275"/>
      <c r="J1048445" s="275"/>
    </row>
    <row r="1048446" customFormat="1" ht="12.75" spans="1:10">
      <c r="A1048446" s="275"/>
      <c r="B1048446" s="275"/>
      <c r="C1048446" s="275"/>
      <c r="D1048446" s="275"/>
      <c r="E1048446" s="406"/>
      <c r="F1048446" s="407"/>
      <c r="G1048446" s="275"/>
      <c r="H1048446" s="275"/>
      <c r="I1048446" s="275"/>
      <c r="J1048446" s="275"/>
    </row>
    <row r="1048447" customFormat="1" ht="12.75" spans="1:10">
      <c r="A1048447" s="275"/>
      <c r="B1048447" s="275"/>
      <c r="C1048447" s="275"/>
      <c r="D1048447" s="275"/>
      <c r="E1048447" s="406"/>
      <c r="F1048447" s="407"/>
      <c r="G1048447" s="275"/>
      <c r="H1048447" s="275"/>
      <c r="I1048447" s="275"/>
      <c r="J1048447" s="275"/>
    </row>
    <row r="1048448" customFormat="1" ht="12.75" spans="1:10">
      <c r="A1048448" s="275"/>
      <c r="B1048448" s="275"/>
      <c r="C1048448" s="275"/>
      <c r="D1048448" s="275"/>
      <c r="E1048448" s="406"/>
      <c r="F1048448" s="407"/>
      <c r="G1048448" s="275"/>
      <c r="H1048448" s="275"/>
      <c r="I1048448" s="275"/>
      <c r="J1048448" s="275"/>
    </row>
    <row r="1048449" customFormat="1" ht="12.75" spans="1:10">
      <c r="A1048449" s="275"/>
      <c r="B1048449" s="275"/>
      <c r="C1048449" s="275"/>
      <c r="D1048449" s="275"/>
      <c r="E1048449" s="406"/>
      <c r="F1048449" s="407"/>
      <c r="G1048449" s="275"/>
      <c r="H1048449" s="275"/>
      <c r="I1048449" s="275"/>
      <c r="J1048449" s="275"/>
    </row>
    <row r="1048450" customFormat="1" ht="12.75" spans="1:10">
      <c r="A1048450" s="275"/>
      <c r="B1048450" s="275"/>
      <c r="C1048450" s="275"/>
      <c r="D1048450" s="275"/>
      <c r="E1048450" s="406"/>
      <c r="F1048450" s="407"/>
      <c r="G1048450" s="275"/>
      <c r="H1048450" s="275"/>
      <c r="I1048450" s="275"/>
      <c r="J1048450" s="275"/>
    </row>
    <row r="1048451" customFormat="1" ht="12.75" spans="1:10">
      <c r="A1048451" s="275"/>
      <c r="B1048451" s="275"/>
      <c r="C1048451" s="275"/>
      <c r="D1048451" s="275"/>
      <c r="E1048451" s="406"/>
      <c r="F1048451" s="407"/>
      <c r="G1048451" s="275"/>
      <c r="H1048451" s="275"/>
      <c r="I1048451" s="275"/>
      <c r="J1048451" s="275"/>
    </row>
    <row r="1048452" customFormat="1" ht="12.75" spans="1:10">
      <c r="A1048452" s="275"/>
      <c r="B1048452" s="275"/>
      <c r="C1048452" s="275"/>
      <c r="D1048452" s="275"/>
      <c r="E1048452" s="406"/>
      <c r="F1048452" s="407"/>
      <c r="G1048452" s="275"/>
      <c r="H1048452" s="275"/>
      <c r="I1048452" s="275"/>
      <c r="J1048452" s="275"/>
    </row>
    <row r="1048453" customFormat="1" ht="12.75" spans="1:10">
      <c r="A1048453" s="275"/>
      <c r="B1048453" s="275"/>
      <c r="C1048453" s="275"/>
      <c r="D1048453" s="275"/>
      <c r="E1048453" s="406"/>
      <c r="F1048453" s="407"/>
      <c r="G1048453" s="275"/>
      <c r="H1048453" s="275"/>
      <c r="I1048453" s="275"/>
      <c r="J1048453" s="275"/>
    </row>
    <row r="1048454" customFormat="1" ht="12.75" spans="1:10">
      <c r="A1048454" s="275"/>
      <c r="B1048454" s="275"/>
      <c r="C1048454" s="275"/>
      <c r="D1048454" s="275"/>
      <c r="E1048454" s="406"/>
      <c r="F1048454" s="407"/>
      <c r="G1048454" s="275"/>
      <c r="H1048454" s="275"/>
      <c r="I1048454" s="275"/>
      <c r="J1048454" s="275"/>
    </row>
    <row r="1048455" customFormat="1" ht="12.75" spans="1:10">
      <c r="A1048455" s="275"/>
      <c r="B1048455" s="275"/>
      <c r="C1048455" s="275"/>
      <c r="D1048455" s="275"/>
      <c r="E1048455" s="406"/>
      <c r="F1048455" s="407"/>
      <c r="G1048455" s="275"/>
      <c r="H1048455" s="275"/>
      <c r="I1048455" s="275"/>
      <c r="J1048455" s="275"/>
    </row>
    <row r="1048456" customFormat="1" ht="12.75" spans="1:10">
      <c r="A1048456" s="275"/>
      <c r="B1048456" s="275"/>
      <c r="C1048456" s="275"/>
      <c r="D1048456" s="275"/>
      <c r="E1048456" s="406"/>
      <c r="F1048456" s="407"/>
      <c r="G1048456" s="275"/>
      <c r="H1048456" s="275"/>
      <c r="I1048456" s="275"/>
      <c r="J1048456" s="275"/>
    </row>
    <row r="1048457" customFormat="1" ht="12.75" spans="1:10">
      <c r="A1048457" s="275"/>
      <c r="B1048457" s="275"/>
      <c r="C1048457" s="275"/>
      <c r="D1048457" s="275"/>
      <c r="E1048457" s="406"/>
      <c r="F1048457" s="407"/>
      <c r="G1048457" s="275"/>
      <c r="H1048457" s="275"/>
      <c r="I1048457" s="275"/>
      <c r="J1048457" s="275"/>
    </row>
    <row r="1048458" customFormat="1" ht="12.75" spans="1:10">
      <c r="A1048458" s="275"/>
      <c r="B1048458" s="275"/>
      <c r="C1048458" s="275"/>
      <c r="D1048458" s="275"/>
      <c r="E1048458" s="406"/>
      <c r="F1048458" s="407"/>
      <c r="G1048458" s="275"/>
      <c r="H1048458" s="275"/>
      <c r="I1048458" s="275"/>
      <c r="J1048458" s="275"/>
    </row>
    <row r="1048459" customFormat="1" ht="12.75" spans="1:10">
      <c r="A1048459" s="275"/>
      <c r="B1048459" s="275"/>
      <c r="C1048459" s="275"/>
      <c r="D1048459" s="275"/>
      <c r="E1048459" s="406"/>
      <c r="F1048459" s="407"/>
      <c r="G1048459" s="275"/>
      <c r="H1048459" s="275"/>
      <c r="I1048459" s="275"/>
      <c r="J1048459" s="275"/>
    </row>
    <row r="1048460" customFormat="1" ht="12.75" spans="1:10">
      <c r="A1048460" s="275"/>
      <c r="B1048460" s="275"/>
      <c r="C1048460" s="275"/>
      <c r="D1048460" s="275"/>
      <c r="E1048460" s="406"/>
      <c r="F1048460" s="407"/>
      <c r="G1048460" s="275"/>
      <c r="H1048460" s="275"/>
      <c r="I1048460" s="275"/>
      <c r="J1048460" s="275"/>
    </row>
    <row r="1048461" customFormat="1" ht="12.75" spans="1:10">
      <c r="A1048461" s="275"/>
      <c r="B1048461" s="275"/>
      <c r="C1048461" s="275"/>
      <c r="D1048461" s="275"/>
      <c r="E1048461" s="406"/>
      <c r="F1048461" s="407"/>
      <c r="G1048461" s="275"/>
      <c r="H1048461" s="275"/>
      <c r="I1048461" s="275"/>
      <c r="J1048461" s="275"/>
    </row>
    <row r="1048462" customFormat="1" ht="12.75" spans="1:10">
      <c r="A1048462" s="275"/>
      <c r="B1048462" s="275"/>
      <c r="C1048462" s="275"/>
      <c r="D1048462" s="275"/>
      <c r="E1048462" s="406"/>
      <c r="F1048462" s="407"/>
      <c r="G1048462" s="275"/>
      <c r="H1048462" s="275"/>
      <c r="I1048462" s="275"/>
      <c r="J1048462" s="275"/>
    </row>
    <row r="1048463" customFormat="1" ht="12.75" spans="1:10">
      <c r="A1048463" s="275"/>
      <c r="B1048463" s="275"/>
      <c r="C1048463" s="275"/>
      <c r="D1048463" s="275"/>
      <c r="E1048463" s="406"/>
      <c r="F1048463" s="407"/>
      <c r="G1048463" s="275"/>
      <c r="H1048463" s="275"/>
      <c r="I1048463" s="275"/>
      <c r="J1048463" s="275"/>
    </row>
    <row r="1048464" customFormat="1" ht="12.75" spans="1:10">
      <c r="A1048464" s="275"/>
      <c r="B1048464" s="275"/>
      <c r="C1048464" s="275"/>
      <c r="D1048464" s="275"/>
      <c r="E1048464" s="406"/>
      <c r="F1048464" s="407"/>
      <c r="G1048464" s="275"/>
      <c r="H1048464" s="275"/>
      <c r="I1048464" s="275"/>
      <c r="J1048464" s="275"/>
    </row>
    <row r="1048465" customFormat="1" ht="12.75" spans="1:10">
      <c r="A1048465" s="275"/>
      <c r="B1048465" s="275"/>
      <c r="C1048465" s="275"/>
      <c r="D1048465" s="275"/>
      <c r="E1048465" s="406"/>
      <c r="F1048465" s="407"/>
      <c r="G1048465" s="275"/>
      <c r="H1048465" s="275"/>
      <c r="I1048465" s="275"/>
      <c r="J1048465" s="275"/>
    </row>
    <row r="1048466" customFormat="1" ht="12.75" spans="1:10">
      <c r="A1048466" s="275"/>
      <c r="B1048466" s="275"/>
      <c r="C1048466" s="275"/>
      <c r="D1048466" s="275"/>
      <c r="E1048466" s="406"/>
      <c r="F1048466" s="407"/>
      <c r="G1048466" s="275"/>
      <c r="H1048466" s="275"/>
      <c r="I1048466" s="275"/>
      <c r="J1048466" s="275"/>
    </row>
    <row r="1048467" customFormat="1" ht="12.75" spans="1:10">
      <c r="A1048467" s="275"/>
      <c r="B1048467" s="275"/>
      <c r="C1048467" s="275"/>
      <c r="D1048467" s="275"/>
      <c r="E1048467" s="406"/>
      <c r="F1048467" s="407"/>
      <c r="G1048467" s="275"/>
      <c r="H1048467" s="275"/>
      <c r="I1048467" s="275"/>
      <c r="J1048467" s="275"/>
    </row>
    <row r="1048468" customFormat="1" ht="12.75" spans="1:10">
      <c r="A1048468" s="275"/>
      <c r="B1048468" s="275"/>
      <c r="C1048468" s="275"/>
      <c r="D1048468" s="275"/>
      <c r="E1048468" s="406"/>
      <c r="F1048468" s="407"/>
      <c r="G1048468" s="275"/>
      <c r="H1048468" s="275"/>
      <c r="I1048468" s="275"/>
      <c r="J1048468" s="275"/>
    </row>
    <row r="1048469" customFormat="1" ht="12.75" spans="1:10">
      <c r="A1048469" s="275"/>
      <c r="B1048469" s="275"/>
      <c r="C1048469" s="275"/>
      <c r="D1048469" s="275"/>
      <c r="E1048469" s="406"/>
      <c r="F1048469" s="407"/>
      <c r="G1048469" s="275"/>
      <c r="H1048469" s="275"/>
      <c r="I1048469" s="275"/>
      <c r="J1048469" s="275"/>
    </row>
    <row r="1048470" customFormat="1" ht="12.75" spans="1:10">
      <c r="A1048470" s="275"/>
      <c r="B1048470" s="275"/>
      <c r="C1048470" s="275"/>
      <c r="D1048470" s="275"/>
      <c r="E1048470" s="406"/>
      <c r="F1048470" s="407"/>
      <c r="G1048470" s="275"/>
      <c r="H1048470" s="275"/>
      <c r="I1048470" s="275"/>
      <c r="J1048470" s="275"/>
    </row>
    <row r="1048471" customFormat="1" ht="12.75" spans="1:10">
      <c r="A1048471" s="275"/>
      <c r="B1048471" s="275"/>
      <c r="C1048471" s="275"/>
      <c r="D1048471" s="275"/>
      <c r="E1048471" s="406"/>
      <c r="F1048471" s="407"/>
      <c r="G1048471" s="275"/>
      <c r="H1048471" s="275"/>
      <c r="I1048471" s="275"/>
      <c r="J1048471" s="275"/>
    </row>
    <row r="1048472" customFormat="1" ht="12.75" spans="1:10">
      <c r="A1048472" s="275"/>
      <c r="B1048472" s="275"/>
      <c r="C1048472" s="275"/>
      <c r="D1048472" s="275"/>
      <c r="E1048472" s="406"/>
      <c r="F1048472" s="407"/>
      <c r="G1048472" s="275"/>
      <c r="H1048472" s="275"/>
      <c r="I1048472" s="275"/>
      <c r="J1048472" s="275"/>
    </row>
    <row r="1048473" customFormat="1" ht="12.75" spans="1:10">
      <c r="A1048473" s="275"/>
      <c r="B1048473" s="275"/>
      <c r="C1048473" s="275"/>
      <c r="D1048473" s="275"/>
      <c r="E1048473" s="406"/>
      <c r="F1048473" s="407"/>
      <c r="G1048473" s="275"/>
      <c r="H1048473" s="275"/>
      <c r="I1048473" s="275"/>
      <c r="J1048473" s="275"/>
    </row>
    <row r="1048474" customFormat="1" ht="12.75" spans="1:10">
      <c r="A1048474" s="275"/>
      <c r="B1048474" s="275"/>
      <c r="C1048474" s="275"/>
      <c r="D1048474" s="275"/>
      <c r="E1048474" s="406"/>
      <c r="F1048474" s="407"/>
      <c r="G1048474" s="275"/>
      <c r="H1048474" s="275"/>
      <c r="I1048474" s="275"/>
      <c r="J1048474" s="275"/>
    </row>
    <row r="1048475" customFormat="1" ht="12.75" spans="1:10">
      <c r="A1048475" s="275"/>
      <c r="B1048475" s="275"/>
      <c r="C1048475" s="275"/>
      <c r="D1048475" s="275"/>
      <c r="E1048475" s="406"/>
      <c r="F1048475" s="407"/>
      <c r="G1048475" s="275"/>
      <c r="H1048475" s="275"/>
      <c r="I1048475" s="275"/>
      <c r="J1048475" s="275"/>
    </row>
    <row r="1048476" customFormat="1" ht="12.75" spans="1:10">
      <c r="A1048476" s="275"/>
      <c r="B1048476" s="275"/>
      <c r="C1048476" s="275"/>
      <c r="D1048476" s="275"/>
      <c r="E1048476" s="406"/>
      <c r="F1048476" s="407"/>
      <c r="G1048476" s="275"/>
      <c r="H1048476" s="275"/>
      <c r="I1048476" s="275"/>
      <c r="J1048476" s="275"/>
    </row>
    <row r="1048477" customFormat="1" ht="12.75" spans="1:10">
      <c r="A1048477" s="275"/>
      <c r="B1048477" s="275"/>
      <c r="C1048477" s="275"/>
      <c r="D1048477" s="275"/>
      <c r="E1048477" s="406"/>
      <c r="F1048477" s="407"/>
      <c r="G1048477" s="275"/>
      <c r="H1048477" s="275"/>
      <c r="I1048477" s="275"/>
      <c r="J1048477" s="275"/>
    </row>
    <row r="1048478" customFormat="1" ht="12.75" spans="1:10">
      <c r="A1048478" s="275"/>
      <c r="B1048478" s="275"/>
      <c r="C1048478" s="275"/>
      <c r="D1048478" s="275"/>
      <c r="E1048478" s="406"/>
      <c r="F1048478" s="407"/>
      <c r="G1048478" s="275"/>
      <c r="H1048478" s="275"/>
      <c r="I1048478" s="275"/>
      <c r="J1048478" s="275"/>
    </row>
    <row r="1048479" customFormat="1" ht="12.75" spans="1:10">
      <c r="A1048479" s="275"/>
      <c r="B1048479" s="275"/>
      <c r="C1048479" s="275"/>
      <c r="D1048479" s="275"/>
      <c r="E1048479" s="406"/>
      <c r="F1048479" s="407"/>
      <c r="G1048479" s="275"/>
      <c r="H1048479" s="275"/>
      <c r="I1048479" s="275"/>
      <c r="J1048479" s="275"/>
    </row>
  </sheetData>
  <mergeCells count="1">
    <mergeCell ref="A1:H1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R17"/>
  <sheetViews>
    <sheetView workbookViewId="0">
      <selection activeCell="B6" sqref="B6"/>
    </sheetView>
  </sheetViews>
  <sheetFormatPr defaultColWidth="9.14285714285714" defaultRowHeight="12.75"/>
  <cols>
    <col min="1" max="1" width="9.14285714285714" style="247"/>
    <col min="2" max="2" width="22.8571428571429" style="247" customWidth="1"/>
    <col min="3" max="3" width="39.2857142857143" style="247" customWidth="1"/>
    <col min="4" max="4" width="11.8571428571429" style="247" customWidth="1"/>
    <col min="5" max="5" width="29" style="247" customWidth="1"/>
    <col min="6" max="6" width="19.2857142857143" style="247" customWidth="1"/>
    <col min="7" max="7" width="12.8380952380952" style="247" customWidth="1"/>
    <col min="8" max="8" width="10.8571428571429" style="247" customWidth="1"/>
    <col min="9" max="9" width="16.8190476190476" style="247" customWidth="1"/>
    <col min="10" max="16384" width="9.14285714285714" style="247"/>
  </cols>
  <sheetData>
    <row r="1" s="68" customFormat="1" ht="30.75" spans="1:9">
      <c r="A1" s="34" t="s">
        <v>549</v>
      </c>
      <c r="B1" s="34"/>
      <c r="C1" s="34"/>
      <c r="D1" s="34"/>
      <c r="E1" s="34"/>
      <c r="F1" s="34"/>
      <c r="G1" s="34"/>
      <c r="H1" s="34"/>
      <c r="I1" s="34"/>
    </row>
    <row r="2" s="246" customFormat="1" ht="15.75" spans="1:252">
      <c r="A2" s="248"/>
      <c r="B2" s="249"/>
      <c r="C2" s="88"/>
      <c r="E2" s="88"/>
      <c r="F2" s="86"/>
      <c r="G2" s="88"/>
      <c r="H2" s="88"/>
      <c r="I2" s="86"/>
      <c r="J2" s="128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29"/>
      <c r="AZ2" s="129"/>
      <c r="BA2" s="129"/>
      <c r="BB2" s="129"/>
      <c r="BC2" s="129"/>
      <c r="BD2" s="129"/>
      <c r="BE2" s="129"/>
      <c r="BF2" s="129"/>
      <c r="BG2" s="129"/>
      <c r="BH2" s="129"/>
      <c r="BI2" s="129"/>
      <c r="BJ2" s="129"/>
      <c r="BK2" s="129"/>
      <c r="BL2" s="129"/>
      <c r="BM2" s="129"/>
      <c r="BN2" s="129"/>
      <c r="BO2" s="129"/>
      <c r="BP2" s="129"/>
      <c r="BQ2" s="129"/>
      <c r="BR2" s="129"/>
      <c r="BS2" s="129"/>
      <c r="BT2" s="129"/>
      <c r="BU2" s="129"/>
      <c r="BV2" s="129"/>
      <c r="BW2" s="129"/>
      <c r="BX2" s="129"/>
      <c r="BY2" s="129"/>
      <c r="BZ2" s="129"/>
      <c r="CA2" s="129"/>
      <c r="CB2" s="129"/>
      <c r="CC2" s="129"/>
      <c r="CD2" s="129"/>
      <c r="CE2" s="129"/>
      <c r="CF2" s="129"/>
      <c r="CG2" s="129"/>
      <c r="CH2" s="129"/>
      <c r="CI2" s="129"/>
      <c r="CJ2" s="129"/>
      <c r="CK2" s="129"/>
      <c r="CL2" s="129"/>
      <c r="CM2" s="129"/>
      <c r="CN2" s="129"/>
      <c r="CO2" s="129"/>
      <c r="CP2" s="129"/>
      <c r="CQ2" s="129"/>
      <c r="CR2" s="129"/>
      <c r="CS2" s="129"/>
      <c r="CT2" s="129"/>
      <c r="CU2" s="129"/>
      <c r="CV2" s="129"/>
      <c r="CW2" s="129"/>
      <c r="CX2" s="129"/>
      <c r="CY2" s="129"/>
      <c r="CZ2" s="129"/>
      <c r="DA2" s="129"/>
      <c r="DB2" s="129"/>
      <c r="DC2" s="129"/>
      <c r="DD2" s="129"/>
      <c r="DE2" s="129"/>
      <c r="DF2" s="129"/>
      <c r="DG2" s="129"/>
      <c r="DH2" s="129"/>
      <c r="DI2" s="129"/>
      <c r="DJ2" s="129"/>
      <c r="DK2" s="129"/>
      <c r="DL2" s="129"/>
      <c r="DM2" s="129"/>
      <c r="DN2" s="129"/>
      <c r="DO2" s="129"/>
      <c r="DP2" s="129"/>
      <c r="DQ2" s="129"/>
      <c r="DR2" s="129"/>
      <c r="DS2" s="129"/>
      <c r="DT2" s="129"/>
      <c r="DU2" s="129"/>
      <c r="DV2" s="129"/>
      <c r="DW2" s="129"/>
      <c r="DX2" s="129"/>
      <c r="DY2" s="129"/>
      <c r="DZ2" s="129"/>
      <c r="EA2" s="129"/>
      <c r="EB2" s="129"/>
      <c r="EC2" s="129"/>
      <c r="ED2" s="129"/>
      <c r="EE2" s="129"/>
      <c r="EF2" s="129"/>
      <c r="EG2" s="129"/>
      <c r="EH2" s="129"/>
      <c r="EI2" s="129"/>
      <c r="EJ2" s="129"/>
      <c r="EK2" s="129"/>
      <c r="EL2" s="129"/>
      <c r="EM2" s="129"/>
      <c r="EN2" s="129"/>
      <c r="EO2" s="129"/>
      <c r="EP2" s="129"/>
      <c r="EQ2" s="129"/>
      <c r="ER2" s="129"/>
      <c r="ES2" s="129"/>
      <c r="ET2" s="129"/>
      <c r="EU2" s="129"/>
      <c r="EV2" s="129"/>
      <c r="EW2" s="129"/>
      <c r="EX2" s="129"/>
      <c r="EY2" s="129"/>
      <c r="EZ2" s="129"/>
      <c r="FA2" s="129"/>
      <c r="FB2" s="129"/>
      <c r="FC2" s="129"/>
      <c r="FD2" s="129"/>
      <c r="FE2" s="129"/>
      <c r="FF2" s="129"/>
      <c r="FG2" s="129"/>
      <c r="FH2" s="129"/>
      <c r="FI2" s="129"/>
      <c r="FJ2" s="129"/>
      <c r="FK2" s="129"/>
      <c r="FL2" s="129"/>
      <c r="FM2" s="129"/>
      <c r="FN2" s="129"/>
      <c r="FO2" s="129"/>
      <c r="FP2" s="129"/>
      <c r="FQ2" s="129"/>
      <c r="FR2" s="129"/>
      <c r="FS2" s="129"/>
      <c r="FT2" s="129"/>
      <c r="FU2" s="129"/>
      <c r="FV2" s="129"/>
      <c r="FW2" s="129"/>
      <c r="FX2" s="129"/>
      <c r="FY2" s="129"/>
      <c r="FZ2" s="129"/>
      <c r="GA2" s="129"/>
      <c r="GB2" s="129"/>
      <c r="GC2" s="129"/>
      <c r="GD2" s="129"/>
      <c r="GE2" s="129"/>
      <c r="GF2" s="129"/>
      <c r="GG2" s="129"/>
      <c r="GH2" s="129"/>
      <c r="GI2" s="129"/>
      <c r="GJ2" s="129"/>
      <c r="GK2" s="129"/>
      <c r="GL2" s="129"/>
      <c r="GM2" s="129"/>
      <c r="GN2" s="129"/>
      <c r="GO2" s="129"/>
      <c r="GP2" s="129"/>
      <c r="GQ2" s="129"/>
      <c r="GR2" s="129"/>
      <c r="GS2" s="129"/>
      <c r="GT2" s="129"/>
      <c r="GU2" s="129"/>
      <c r="GV2" s="129"/>
      <c r="GW2" s="129"/>
      <c r="GX2" s="129"/>
      <c r="GY2" s="129"/>
      <c r="GZ2" s="129"/>
      <c r="HA2" s="129"/>
      <c r="HB2" s="129"/>
      <c r="HC2" s="129"/>
      <c r="HD2" s="129"/>
      <c r="HE2" s="129"/>
      <c r="HF2" s="129"/>
      <c r="HG2" s="129"/>
      <c r="HH2" s="129"/>
      <c r="HI2" s="129"/>
      <c r="HJ2" s="129"/>
      <c r="HK2" s="129"/>
      <c r="HL2" s="129"/>
      <c r="HM2" s="129"/>
      <c r="HN2" s="129"/>
      <c r="HO2" s="129"/>
      <c r="HP2" s="129"/>
      <c r="HQ2" s="129"/>
      <c r="HR2" s="129"/>
      <c r="HS2" s="129"/>
      <c r="HT2" s="129"/>
      <c r="HU2" s="129"/>
      <c r="HV2" s="129"/>
      <c r="HW2" s="129"/>
      <c r="HX2" s="129"/>
      <c r="HY2" s="129"/>
      <c r="HZ2" s="129"/>
      <c r="IA2" s="129"/>
      <c r="IB2" s="129"/>
      <c r="IC2" s="129"/>
      <c r="ID2" s="129"/>
      <c r="IE2" s="129"/>
      <c r="IF2" s="129"/>
      <c r="IG2" s="129"/>
      <c r="IH2" s="129"/>
      <c r="II2" s="129"/>
      <c r="IJ2" s="129"/>
      <c r="IK2" s="129"/>
      <c r="IL2" s="129"/>
      <c r="IM2" s="129"/>
      <c r="IN2" s="129"/>
      <c r="IO2" s="129"/>
      <c r="IP2" s="129"/>
      <c r="IQ2" s="129"/>
      <c r="IR2" s="129"/>
    </row>
    <row r="3" s="32" customFormat="1" ht="24" customHeight="1" spans="1:9">
      <c r="A3" s="39" t="s">
        <v>1</v>
      </c>
      <c r="B3" s="39" t="s">
        <v>2</v>
      </c>
      <c r="C3" s="39" t="s">
        <v>3</v>
      </c>
      <c r="D3" s="39" t="s">
        <v>4</v>
      </c>
      <c r="E3" s="39" t="s">
        <v>5</v>
      </c>
      <c r="F3" s="39" t="s">
        <v>6</v>
      </c>
      <c r="G3" s="39" t="s">
        <v>7</v>
      </c>
      <c r="H3" s="39" t="s">
        <v>8</v>
      </c>
      <c r="I3" s="39" t="s">
        <v>9</v>
      </c>
    </row>
    <row r="4" ht="31.5" spans="1:9">
      <c r="A4" s="250"/>
      <c r="B4" s="251" t="s">
        <v>550</v>
      </c>
      <c r="C4" s="169" t="s">
        <v>551</v>
      </c>
      <c r="D4" s="252"/>
      <c r="E4" s="168" t="s">
        <v>552</v>
      </c>
      <c r="F4" s="168" t="s">
        <v>384</v>
      </c>
      <c r="G4" s="253">
        <f>H4*1.7</f>
        <v>18536.8</v>
      </c>
      <c r="H4" s="254">
        <v>10904</v>
      </c>
      <c r="I4" s="267"/>
    </row>
    <row r="5" ht="31.5" spans="1:9">
      <c r="A5" s="252"/>
      <c r="B5" s="251" t="s">
        <v>553</v>
      </c>
      <c r="C5" s="169" t="s">
        <v>554</v>
      </c>
      <c r="D5" s="252"/>
      <c r="E5" s="168" t="s">
        <v>555</v>
      </c>
      <c r="F5" s="168" t="s">
        <v>384</v>
      </c>
      <c r="G5" s="253">
        <f t="shared" ref="G5:G13" si="0">H5*1.7</f>
        <v>27565.5</v>
      </c>
      <c r="H5" s="254">
        <v>16215</v>
      </c>
      <c r="I5" s="268"/>
    </row>
    <row r="6" ht="15.75" spans="1:9">
      <c r="A6" s="252"/>
      <c r="B6" s="255" t="s">
        <v>556</v>
      </c>
      <c r="C6" s="168" t="s">
        <v>557</v>
      </c>
      <c r="D6" s="252"/>
      <c r="E6" s="168" t="s">
        <v>558</v>
      </c>
      <c r="F6" s="168" t="s">
        <v>384</v>
      </c>
      <c r="G6" s="253">
        <f t="shared" si="0"/>
        <v>35581</v>
      </c>
      <c r="H6" s="254">
        <v>20930</v>
      </c>
      <c r="I6" s="268"/>
    </row>
    <row r="7" ht="31.5" spans="1:9">
      <c r="A7" s="252"/>
      <c r="B7" s="256" t="s">
        <v>170</v>
      </c>
      <c r="C7" s="61" t="s">
        <v>171</v>
      </c>
      <c r="D7" s="252"/>
      <c r="E7" s="257" t="s">
        <v>160</v>
      </c>
      <c r="F7" s="227" t="s">
        <v>559</v>
      </c>
      <c r="G7" s="253">
        <f t="shared" si="0"/>
        <v>56535.2</v>
      </c>
      <c r="H7" s="258">
        <v>33256</v>
      </c>
      <c r="I7" s="268"/>
    </row>
    <row r="8" ht="17.25" spans="1:9">
      <c r="A8" s="252"/>
      <c r="B8" s="259" t="s">
        <v>158</v>
      </c>
      <c r="C8" s="65" t="s">
        <v>159</v>
      </c>
      <c r="D8" s="252"/>
      <c r="E8" s="257" t="s">
        <v>160</v>
      </c>
      <c r="F8" s="257" t="s">
        <v>560</v>
      </c>
      <c r="G8" s="253">
        <f t="shared" si="0"/>
        <v>58221.6</v>
      </c>
      <c r="H8" s="258">
        <v>34248</v>
      </c>
      <c r="I8" s="268"/>
    </row>
    <row r="9" ht="17.25" spans="1:9">
      <c r="A9" s="252"/>
      <c r="B9" s="259" t="s">
        <v>561</v>
      </c>
      <c r="C9" s="168" t="s">
        <v>562</v>
      </c>
      <c r="D9" s="252"/>
      <c r="E9" s="257" t="s">
        <v>160</v>
      </c>
      <c r="F9" s="257" t="s">
        <v>563</v>
      </c>
      <c r="G9" s="253">
        <f t="shared" si="0"/>
        <v>61730.4</v>
      </c>
      <c r="H9" s="254">
        <v>36312</v>
      </c>
      <c r="I9" s="268"/>
    </row>
    <row r="10" ht="17.25" spans="1:9">
      <c r="A10" s="252"/>
      <c r="B10" s="259" t="s">
        <v>564</v>
      </c>
      <c r="C10" s="168" t="s">
        <v>562</v>
      </c>
      <c r="D10" s="252"/>
      <c r="E10" s="257" t="s">
        <v>160</v>
      </c>
      <c r="F10" s="257" t="s">
        <v>565</v>
      </c>
      <c r="G10" s="253">
        <f t="shared" si="0"/>
        <v>61730.4</v>
      </c>
      <c r="H10" s="254">
        <v>36312</v>
      </c>
      <c r="I10" s="268"/>
    </row>
    <row r="11" ht="15.75" spans="1:9">
      <c r="A11" s="252"/>
      <c r="B11" s="259" t="s">
        <v>566</v>
      </c>
      <c r="C11" s="169" t="s">
        <v>567</v>
      </c>
      <c r="D11" s="252"/>
      <c r="E11" s="169" t="s">
        <v>568</v>
      </c>
      <c r="F11" s="168" t="s">
        <v>384</v>
      </c>
      <c r="G11" s="253">
        <f t="shared" si="0"/>
        <v>16189.1</v>
      </c>
      <c r="H11" s="254">
        <v>9523</v>
      </c>
      <c r="I11" s="268"/>
    </row>
    <row r="12" ht="15.75" spans="1:9">
      <c r="A12" s="252"/>
      <c r="B12" s="259" t="s">
        <v>569</v>
      </c>
      <c r="C12" s="169" t="s">
        <v>197</v>
      </c>
      <c r="D12" s="252"/>
      <c r="E12" s="65" t="s">
        <v>252</v>
      </c>
      <c r="F12" s="168" t="s">
        <v>384</v>
      </c>
      <c r="G12" s="253">
        <f t="shared" si="0"/>
        <v>18188.3</v>
      </c>
      <c r="H12" s="148">
        <v>10699</v>
      </c>
      <c r="I12" s="268"/>
    </row>
    <row r="13" ht="15.75" spans="1:9">
      <c r="A13" s="252"/>
      <c r="B13" s="259" t="s">
        <v>570</v>
      </c>
      <c r="C13" s="169" t="s">
        <v>195</v>
      </c>
      <c r="D13" s="252"/>
      <c r="E13" s="65" t="s">
        <v>239</v>
      </c>
      <c r="F13" s="168" t="s">
        <v>384</v>
      </c>
      <c r="G13" s="253">
        <f t="shared" si="0"/>
        <v>24531</v>
      </c>
      <c r="H13" s="148">
        <v>14430</v>
      </c>
      <c r="I13" s="268"/>
    </row>
    <row r="14" ht="15.75" spans="1:9">
      <c r="A14" s="252"/>
      <c r="B14" s="260"/>
      <c r="C14" s="260"/>
      <c r="D14" s="261"/>
      <c r="E14" s="260"/>
      <c r="F14" s="262"/>
      <c r="G14" s="263"/>
      <c r="H14" s="263"/>
      <c r="I14" s="268"/>
    </row>
    <row r="15" ht="15.75" spans="1:9">
      <c r="A15" s="252"/>
      <c r="B15" s="260"/>
      <c r="C15" s="260"/>
      <c r="D15" s="261"/>
      <c r="E15" s="264"/>
      <c r="F15" s="262"/>
      <c r="G15" s="263"/>
      <c r="H15" s="263"/>
      <c r="I15" s="268"/>
    </row>
    <row r="16" ht="17.25" spans="1:9">
      <c r="A16" s="252"/>
      <c r="B16" s="168"/>
      <c r="C16" s="168"/>
      <c r="D16" s="252"/>
      <c r="E16" s="257"/>
      <c r="F16" s="265"/>
      <c r="G16" s="254"/>
      <c r="H16" s="266"/>
      <c r="I16" s="269"/>
    </row>
    <row r="17" ht="17.25" spans="1:9">
      <c r="A17" s="252"/>
      <c r="B17" s="168"/>
      <c r="C17" s="168"/>
      <c r="D17" s="252"/>
      <c r="E17" s="257"/>
      <c r="F17" s="265"/>
      <c r="G17" s="254"/>
      <c r="H17" s="266"/>
      <c r="I17" s="269"/>
    </row>
  </sheetData>
  <mergeCells count="1">
    <mergeCell ref="A1:I1"/>
  </mergeCells>
  <pageMargins left="0.75" right="0.75" top="1" bottom="1" header="0.511805555555556" footer="0.511805555555556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O119"/>
  <sheetViews>
    <sheetView workbookViewId="0">
      <selection activeCell="E12" sqref="E12"/>
    </sheetView>
  </sheetViews>
  <sheetFormatPr defaultColWidth="9.14285714285714" defaultRowHeight="12.75"/>
  <cols>
    <col min="1" max="1" width="4.85714285714286" style="195" customWidth="1"/>
    <col min="2" max="2" width="9.14285714285714" style="195"/>
    <col min="3" max="3" width="23.4285714285714" style="195" customWidth="1"/>
    <col min="4" max="4" width="26.7142857142857" style="195" customWidth="1"/>
    <col min="5" max="5" width="30.8571428571429" style="195" customWidth="1"/>
    <col min="6" max="6" width="20.4285714285714" style="195" customWidth="1"/>
    <col min="7" max="7" width="12.2857142857143" style="195" customWidth="1"/>
  </cols>
  <sheetData>
    <row r="1" s="31" customFormat="1" ht="30" spans="1:9">
      <c r="A1" s="34" t="s">
        <v>571</v>
      </c>
      <c r="B1" s="34"/>
      <c r="C1" s="34"/>
      <c r="D1" s="34"/>
      <c r="E1" s="34"/>
      <c r="F1" s="34"/>
      <c r="G1" s="35"/>
      <c r="H1" s="35"/>
      <c r="I1" s="34"/>
    </row>
    <row r="3" s="73" customFormat="1" ht="28.5" spans="1:249">
      <c r="A3" s="196" t="s">
        <v>1</v>
      </c>
      <c r="B3" s="91" t="s">
        <v>572</v>
      </c>
      <c r="C3" s="91" t="s">
        <v>3</v>
      </c>
      <c r="D3" s="197" t="s">
        <v>4</v>
      </c>
      <c r="E3" s="91" t="s">
        <v>573</v>
      </c>
      <c r="F3" s="198" t="s">
        <v>574</v>
      </c>
      <c r="G3" s="198" t="s">
        <v>7</v>
      </c>
      <c r="H3" s="199" t="s">
        <v>575</v>
      </c>
      <c r="I3" s="221" t="s">
        <v>9</v>
      </c>
      <c r="J3" s="222"/>
      <c r="K3" s="222"/>
      <c r="L3" s="222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7"/>
      <c r="BF3" s="127"/>
      <c r="BG3" s="127"/>
      <c r="BH3" s="127"/>
      <c r="BI3" s="127"/>
      <c r="BJ3" s="127"/>
      <c r="BK3" s="127"/>
      <c r="BL3" s="127"/>
      <c r="BM3" s="127"/>
      <c r="BN3" s="127"/>
      <c r="BO3" s="127"/>
      <c r="BP3" s="127"/>
      <c r="BQ3" s="127"/>
      <c r="BR3" s="127"/>
      <c r="BS3" s="127"/>
      <c r="BT3" s="127"/>
      <c r="BU3" s="127"/>
      <c r="BV3" s="127"/>
      <c r="BW3" s="127"/>
      <c r="BX3" s="127"/>
      <c r="BY3" s="127"/>
      <c r="BZ3" s="127"/>
      <c r="CA3" s="127"/>
      <c r="CB3" s="127"/>
      <c r="CC3" s="127"/>
      <c r="CD3" s="127"/>
      <c r="CE3" s="127"/>
      <c r="CF3" s="127"/>
      <c r="CG3" s="127"/>
      <c r="CH3" s="127"/>
      <c r="CI3" s="127"/>
      <c r="CJ3" s="127"/>
      <c r="CK3" s="127"/>
      <c r="CL3" s="127"/>
      <c r="CM3" s="127"/>
      <c r="CN3" s="127"/>
      <c r="CO3" s="127"/>
      <c r="CP3" s="127"/>
      <c r="CQ3" s="127"/>
      <c r="CR3" s="127"/>
      <c r="CS3" s="127"/>
      <c r="CT3" s="127"/>
      <c r="CU3" s="127"/>
      <c r="CV3" s="127"/>
      <c r="CW3" s="127"/>
      <c r="CX3" s="127"/>
      <c r="CY3" s="127"/>
      <c r="CZ3" s="127"/>
      <c r="DA3" s="127"/>
      <c r="DB3" s="127"/>
      <c r="DC3" s="127"/>
      <c r="DD3" s="127"/>
      <c r="DE3" s="127"/>
      <c r="DF3" s="127"/>
      <c r="DG3" s="127"/>
      <c r="DH3" s="127"/>
      <c r="DI3" s="127"/>
      <c r="DJ3" s="127"/>
      <c r="DK3" s="127"/>
      <c r="DL3" s="127"/>
      <c r="DM3" s="127"/>
      <c r="DN3" s="127"/>
      <c r="DO3" s="127"/>
      <c r="DP3" s="127"/>
      <c r="DQ3" s="127"/>
      <c r="DR3" s="127"/>
      <c r="DS3" s="127"/>
      <c r="DT3" s="127"/>
      <c r="DU3" s="127"/>
      <c r="DV3" s="127"/>
      <c r="DW3" s="127"/>
      <c r="DX3" s="127"/>
      <c r="DY3" s="127"/>
      <c r="DZ3" s="127"/>
      <c r="EA3" s="127"/>
      <c r="EB3" s="127"/>
      <c r="EC3" s="127"/>
      <c r="ED3" s="127"/>
      <c r="EE3" s="127"/>
      <c r="EF3" s="127"/>
      <c r="EG3" s="127"/>
      <c r="EH3" s="127"/>
      <c r="EI3" s="127"/>
      <c r="EJ3" s="127"/>
      <c r="EK3" s="127"/>
      <c r="EL3" s="127"/>
      <c r="EM3" s="127"/>
      <c r="EN3" s="127"/>
      <c r="EO3" s="127"/>
      <c r="EP3" s="127"/>
      <c r="EQ3" s="127"/>
      <c r="ER3" s="127"/>
      <c r="ES3" s="127"/>
      <c r="ET3" s="127"/>
      <c r="EU3" s="127"/>
      <c r="EV3" s="127"/>
      <c r="EW3" s="127"/>
      <c r="EX3" s="127"/>
      <c r="EY3" s="127"/>
      <c r="EZ3" s="127"/>
      <c r="FA3" s="127"/>
      <c r="FB3" s="127"/>
      <c r="FC3" s="127"/>
      <c r="FD3" s="127"/>
      <c r="FE3" s="127"/>
      <c r="FF3" s="127"/>
      <c r="FG3" s="127"/>
      <c r="FH3" s="127"/>
      <c r="FI3" s="127"/>
      <c r="FJ3" s="127"/>
      <c r="FK3" s="127"/>
      <c r="FL3" s="127"/>
      <c r="FM3" s="127"/>
      <c r="FN3" s="127"/>
      <c r="FO3" s="127"/>
      <c r="FP3" s="127"/>
      <c r="FQ3" s="127"/>
      <c r="FR3" s="127"/>
      <c r="FS3" s="127"/>
      <c r="FT3" s="127"/>
      <c r="FU3" s="127"/>
      <c r="FV3" s="127"/>
      <c r="FW3" s="127"/>
      <c r="FX3" s="127"/>
      <c r="FY3" s="127"/>
      <c r="FZ3" s="127"/>
      <c r="GA3" s="127"/>
      <c r="GB3" s="127"/>
      <c r="GC3" s="127"/>
      <c r="GD3" s="127"/>
      <c r="GE3" s="127"/>
      <c r="GF3" s="127"/>
      <c r="GG3" s="127"/>
      <c r="GH3" s="127"/>
      <c r="GI3" s="127"/>
      <c r="GJ3" s="127"/>
      <c r="GK3" s="127"/>
      <c r="GL3" s="127"/>
      <c r="GM3" s="127"/>
      <c r="GN3" s="127"/>
      <c r="GO3" s="127"/>
      <c r="GP3" s="127"/>
      <c r="GQ3" s="127"/>
      <c r="GR3" s="127"/>
      <c r="GS3" s="127"/>
      <c r="GT3" s="127"/>
      <c r="GU3" s="127"/>
      <c r="GV3" s="127"/>
      <c r="GW3" s="127"/>
      <c r="GX3" s="127"/>
      <c r="GY3" s="127"/>
      <c r="GZ3" s="127"/>
      <c r="HA3" s="127"/>
      <c r="HB3" s="127"/>
      <c r="HC3" s="127"/>
      <c r="HD3" s="127"/>
      <c r="HE3" s="127"/>
      <c r="HF3" s="127"/>
      <c r="HG3" s="127"/>
      <c r="HH3" s="127"/>
      <c r="HI3" s="127"/>
      <c r="HJ3" s="127"/>
      <c r="HK3" s="127"/>
      <c r="HL3" s="127"/>
      <c r="HM3" s="127"/>
      <c r="HN3" s="127"/>
      <c r="HO3" s="127"/>
      <c r="HP3" s="127"/>
      <c r="HQ3" s="127"/>
      <c r="HR3" s="127"/>
      <c r="HS3" s="127"/>
      <c r="HT3" s="127"/>
      <c r="HU3" s="127"/>
      <c r="HV3" s="127"/>
      <c r="HW3" s="127"/>
      <c r="HX3" s="127"/>
      <c r="HY3" s="127"/>
      <c r="HZ3" s="127"/>
      <c r="IA3" s="127"/>
      <c r="IB3" s="127"/>
      <c r="IC3" s="127"/>
      <c r="ID3" s="127"/>
      <c r="IE3" s="127"/>
      <c r="IF3" s="127"/>
      <c r="IG3" s="127"/>
      <c r="IH3" s="127"/>
      <c r="II3" s="127"/>
      <c r="IJ3" s="127"/>
      <c r="IK3" s="127"/>
      <c r="IL3" s="127"/>
      <c r="IM3" s="127"/>
      <c r="IN3" s="127"/>
      <c r="IO3" s="127"/>
    </row>
    <row r="4" ht="15.75" spans="1:8">
      <c r="A4" s="200">
        <v>1</v>
      </c>
      <c r="B4" s="201" t="s">
        <v>576</v>
      </c>
      <c r="C4" s="67" t="s">
        <v>577</v>
      </c>
      <c r="E4" s="201" t="s">
        <v>578</v>
      </c>
      <c r="F4" s="67" t="s">
        <v>579</v>
      </c>
      <c r="G4" s="202">
        <f>H4*1.7</f>
        <v>15089.2</v>
      </c>
      <c r="H4" s="203">
        <v>8876</v>
      </c>
    </row>
    <row r="5" ht="15.75" spans="1:8">
      <c r="A5" s="200">
        <v>2</v>
      </c>
      <c r="B5" s="201" t="s">
        <v>580</v>
      </c>
      <c r="C5" s="204" t="s">
        <v>581</v>
      </c>
      <c r="E5" s="201" t="s">
        <v>582</v>
      </c>
      <c r="F5" s="67" t="s">
        <v>234</v>
      </c>
      <c r="G5" s="202">
        <f t="shared" ref="G5:G12" si="0">H5*1.7</f>
        <v>7398.4</v>
      </c>
      <c r="H5" s="203">
        <v>4352</v>
      </c>
    </row>
    <row r="6" ht="15.75" spans="1:8">
      <c r="A6" s="200">
        <v>3</v>
      </c>
      <c r="B6" s="201" t="s">
        <v>583</v>
      </c>
      <c r="C6" s="67" t="s">
        <v>584</v>
      </c>
      <c r="E6" s="201" t="s">
        <v>585</v>
      </c>
      <c r="F6" s="67" t="s">
        <v>586</v>
      </c>
      <c r="G6" s="202">
        <f t="shared" si="0"/>
        <v>14011.4</v>
      </c>
      <c r="H6" s="203">
        <v>8242</v>
      </c>
    </row>
    <row r="7" ht="15.75" spans="1:8">
      <c r="A7" s="200">
        <v>4</v>
      </c>
      <c r="B7" s="201" t="s">
        <v>587</v>
      </c>
      <c r="C7" s="201" t="s">
        <v>588</v>
      </c>
      <c r="E7" s="201" t="s">
        <v>589</v>
      </c>
      <c r="F7" s="67" t="s">
        <v>234</v>
      </c>
      <c r="G7" s="202">
        <f t="shared" si="0"/>
        <v>15653.6</v>
      </c>
      <c r="H7" s="203">
        <v>9208</v>
      </c>
    </row>
    <row r="8" ht="15.75" spans="1:8">
      <c r="A8" s="200">
        <v>5</v>
      </c>
      <c r="B8" s="201" t="s">
        <v>590</v>
      </c>
      <c r="C8" s="67" t="s">
        <v>591</v>
      </c>
      <c r="E8" s="205" t="s">
        <v>592</v>
      </c>
      <c r="F8" s="67" t="s">
        <v>234</v>
      </c>
      <c r="G8" s="202">
        <f t="shared" si="0"/>
        <v>26394.2</v>
      </c>
      <c r="H8" s="203">
        <v>15526</v>
      </c>
    </row>
    <row r="9" ht="15.75" spans="1:8">
      <c r="A9" s="200">
        <v>6</v>
      </c>
      <c r="B9" s="201" t="s">
        <v>593</v>
      </c>
      <c r="C9" s="67" t="s">
        <v>591</v>
      </c>
      <c r="E9" s="206" t="s">
        <v>594</v>
      </c>
      <c r="F9" s="201" t="s">
        <v>595</v>
      </c>
      <c r="G9" s="202">
        <f t="shared" si="0"/>
        <v>10111.6</v>
      </c>
      <c r="H9" s="203">
        <v>5948</v>
      </c>
    </row>
    <row r="10" ht="15.75" spans="1:8">
      <c r="A10" s="200">
        <v>7</v>
      </c>
      <c r="B10" s="201" t="s">
        <v>596</v>
      </c>
      <c r="C10" s="67" t="s">
        <v>597</v>
      </c>
      <c r="E10" s="205" t="s">
        <v>598</v>
      </c>
      <c r="F10" s="67" t="s">
        <v>234</v>
      </c>
      <c r="G10" s="202">
        <f t="shared" si="0"/>
        <v>19368.1</v>
      </c>
      <c r="H10" s="203">
        <v>11393</v>
      </c>
    </row>
    <row r="11" ht="15.75" spans="1:8">
      <c r="A11" s="200">
        <v>8</v>
      </c>
      <c r="B11" s="201" t="s">
        <v>599</v>
      </c>
      <c r="C11" s="67" t="s">
        <v>597</v>
      </c>
      <c r="E11" s="205" t="s">
        <v>600</v>
      </c>
      <c r="F11" s="67" t="s">
        <v>601</v>
      </c>
      <c r="G11" s="202">
        <f t="shared" si="0"/>
        <v>21012</v>
      </c>
      <c r="H11" s="203">
        <v>12360</v>
      </c>
    </row>
    <row r="12" ht="15.75" spans="1:8">
      <c r="A12" s="200">
        <v>9</v>
      </c>
      <c r="B12" s="207" t="s">
        <v>602</v>
      </c>
      <c r="C12" s="208" t="s">
        <v>603</v>
      </c>
      <c r="E12" s="209" t="s">
        <v>604</v>
      </c>
      <c r="F12" s="210" t="s">
        <v>605</v>
      </c>
      <c r="G12" s="202">
        <f t="shared" si="0"/>
        <v>4207.5</v>
      </c>
      <c r="H12" s="211">
        <v>2475</v>
      </c>
    </row>
    <row r="13" ht="15.75" spans="1:8">
      <c r="A13" s="200"/>
      <c r="B13" s="212"/>
      <c r="C13" s="200"/>
      <c r="D13" s="200"/>
      <c r="E13" s="200"/>
      <c r="F13" s="200"/>
      <c r="G13" s="213"/>
      <c r="H13" s="213"/>
    </row>
    <row r="14" ht="15.75" spans="1:8">
      <c r="A14" s="200"/>
      <c r="B14" s="212"/>
      <c r="C14" s="200"/>
      <c r="D14" s="200"/>
      <c r="E14" s="200"/>
      <c r="F14" s="200"/>
      <c r="G14" s="213"/>
      <c r="H14" s="213"/>
    </row>
    <row r="15" ht="15.75" spans="1:8">
      <c r="A15" s="150"/>
      <c r="B15" s="99"/>
      <c r="C15" s="214"/>
      <c r="D15" s="215"/>
      <c r="E15" s="99"/>
      <c r="F15" s="65"/>
      <c r="G15" s="213"/>
      <c r="H15" s="213"/>
    </row>
    <row r="16" ht="15.75" spans="1:8">
      <c r="A16" s="150"/>
      <c r="B16" s="99"/>
      <c r="C16" s="214"/>
      <c r="D16" s="215"/>
      <c r="E16" s="99"/>
      <c r="F16" s="65"/>
      <c r="G16" s="213"/>
      <c r="H16" s="213"/>
    </row>
    <row r="17" ht="15.75" spans="1:8">
      <c r="A17" s="150"/>
      <c r="B17" s="99"/>
      <c r="C17" s="65"/>
      <c r="D17" s="215"/>
      <c r="E17" s="169"/>
      <c r="F17" s="65"/>
      <c r="G17" s="213"/>
      <c r="H17" s="213"/>
    </row>
    <row r="18" ht="15.75" spans="1:8">
      <c r="A18" s="150"/>
      <c r="B18" s="99"/>
      <c r="C18" s="65"/>
      <c r="D18" s="215"/>
      <c r="E18" s="169"/>
      <c r="F18" s="65"/>
      <c r="G18" s="213"/>
      <c r="H18" s="213"/>
    </row>
    <row r="19" ht="15.75" spans="1:8">
      <c r="A19" s="150"/>
      <c r="B19" s="99"/>
      <c r="C19" s="214"/>
      <c r="D19" s="215"/>
      <c r="E19" s="99"/>
      <c r="F19" s="65"/>
      <c r="G19" s="213"/>
      <c r="H19" s="213"/>
    </row>
    <row r="20" ht="15.75" spans="1:8">
      <c r="A20" s="150"/>
      <c r="B20" s="99"/>
      <c r="C20" s="214"/>
      <c r="D20" s="215"/>
      <c r="E20" s="99"/>
      <c r="F20" s="65"/>
      <c r="G20" s="213"/>
      <c r="H20" s="213"/>
    </row>
    <row r="21" ht="15.75" spans="1:8">
      <c r="A21" s="150"/>
      <c r="B21" s="99"/>
      <c r="C21" s="65"/>
      <c r="D21" s="215"/>
      <c r="E21" s="99"/>
      <c r="F21" s="65"/>
      <c r="G21" s="213"/>
      <c r="H21" s="213"/>
    </row>
    <row r="22" ht="15.75" spans="1:8">
      <c r="A22" s="150"/>
      <c r="B22" s="99"/>
      <c r="C22" s="65"/>
      <c r="D22" s="215"/>
      <c r="E22" s="99"/>
      <c r="F22" s="65"/>
      <c r="G22" s="216"/>
      <c r="H22" s="216"/>
    </row>
    <row r="23" ht="15.75" spans="1:8">
      <c r="A23" s="150"/>
      <c r="B23" s="99"/>
      <c r="C23" s="65"/>
      <c r="D23" s="215"/>
      <c r="E23" s="99"/>
      <c r="F23" s="65"/>
      <c r="G23" s="213"/>
      <c r="H23" s="213"/>
    </row>
    <row r="24" ht="15.75" spans="1:8">
      <c r="A24" s="150"/>
      <c r="B24" s="99"/>
      <c r="C24" s="65"/>
      <c r="D24" s="215"/>
      <c r="E24" s="99"/>
      <c r="F24" s="65"/>
      <c r="G24" s="213"/>
      <c r="H24" s="213"/>
    </row>
    <row r="25" ht="15.75" spans="1:8">
      <c r="A25" s="150"/>
      <c r="B25" s="99"/>
      <c r="C25" s="65"/>
      <c r="D25" s="215"/>
      <c r="E25" s="99"/>
      <c r="F25" s="65"/>
      <c r="G25" s="213"/>
      <c r="H25" s="213"/>
    </row>
    <row r="26" ht="15.75" spans="1:8">
      <c r="A26" s="150"/>
      <c r="B26" s="99"/>
      <c r="C26" s="65"/>
      <c r="D26" s="215"/>
      <c r="E26" s="99"/>
      <c r="F26" s="65"/>
      <c r="G26" s="213"/>
      <c r="H26" s="213"/>
    </row>
    <row r="27" ht="15.75" spans="1:8">
      <c r="A27" s="150"/>
      <c r="B27" s="99"/>
      <c r="C27" s="214"/>
      <c r="D27" s="215"/>
      <c r="E27" s="99"/>
      <c r="F27" s="65"/>
      <c r="G27" s="213"/>
      <c r="H27" s="213"/>
    </row>
    <row r="28" ht="15.75" spans="1:8">
      <c r="A28" s="150"/>
      <c r="B28" s="99"/>
      <c r="C28" s="65"/>
      <c r="D28" s="215"/>
      <c r="E28" s="99"/>
      <c r="F28" s="65"/>
      <c r="G28" s="213"/>
      <c r="H28" s="213"/>
    </row>
    <row r="29" ht="15.75" spans="1:8">
      <c r="A29" s="150"/>
      <c r="B29" s="99"/>
      <c r="C29" s="65"/>
      <c r="D29" s="215"/>
      <c r="E29" s="99"/>
      <c r="F29" s="65"/>
      <c r="G29" s="213"/>
      <c r="H29" s="213"/>
    </row>
    <row r="30" ht="15.75" spans="1:8">
      <c r="A30" s="150"/>
      <c r="B30" s="99"/>
      <c r="C30" s="214"/>
      <c r="D30" s="215"/>
      <c r="E30" s="99"/>
      <c r="F30" s="65"/>
      <c r="G30" s="213"/>
      <c r="H30" s="213"/>
    </row>
    <row r="31" ht="15.75" spans="1:8">
      <c r="A31" s="150"/>
      <c r="B31" s="99"/>
      <c r="C31" s="65"/>
      <c r="D31" s="215"/>
      <c r="E31" s="99"/>
      <c r="F31" s="65"/>
      <c r="G31" s="213"/>
      <c r="H31" s="213"/>
    </row>
    <row r="32" ht="15.75" spans="1:8">
      <c r="A32" s="150"/>
      <c r="B32" s="99"/>
      <c r="C32" s="65"/>
      <c r="D32" s="215"/>
      <c r="E32" s="99"/>
      <c r="F32" s="65"/>
      <c r="G32" s="213"/>
      <c r="H32" s="213"/>
    </row>
    <row r="33" ht="15.75" spans="1:8">
      <c r="A33" s="150"/>
      <c r="B33" s="99"/>
      <c r="C33" s="214"/>
      <c r="D33" s="215"/>
      <c r="E33" s="99"/>
      <c r="F33" s="65"/>
      <c r="G33" s="213"/>
      <c r="H33" s="213"/>
    </row>
    <row r="34" ht="15.75" spans="1:8">
      <c r="A34" s="150"/>
      <c r="B34" s="99"/>
      <c r="C34" s="214"/>
      <c r="D34" s="215"/>
      <c r="E34" s="99"/>
      <c r="F34" s="65"/>
      <c r="G34" s="213"/>
      <c r="H34" s="213"/>
    </row>
    <row r="35" ht="15.75" spans="1:8">
      <c r="A35" s="150"/>
      <c r="B35" s="99"/>
      <c r="C35" s="65"/>
      <c r="D35" s="215"/>
      <c r="E35" s="99"/>
      <c r="F35" s="65"/>
      <c r="G35" s="213"/>
      <c r="H35" s="213"/>
    </row>
    <row r="36" ht="15.75" spans="1:8">
      <c r="A36" s="150"/>
      <c r="B36" s="99"/>
      <c r="C36" s="65"/>
      <c r="D36" s="215"/>
      <c r="E36" s="99"/>
      <c r="F36" s="65"/>
      <c r="G36" s="213"/>
      <c r="H36" s="213"/>
    </row>
    <row r="37" ht="15.75" spans="1:8">
      <c r="A37" s="150"/>
      <c r="B37" s="99"/>
      <c r="C37" s="214"/>
      <c r="D37" s="215"/>
      <c r="E37" s="99"/>
      <c r="F37" s="65"/>
      <c r="G37" s="213"/>
      <c r="H37" s="213"/>
    </row>
    <row r="38" ht="15.75" spans="1:8">
      <c r="A38" s="150"/>
      <c r="B38" s="99"/>
      <c r="C38" s="65"/>
      <c r="D38" s="215"/>
      <c r="E38" s="99"/>
      <c r="F38" s="65"/>
      <c r="G38" s="213"/>
      <c r="H38" s="213"/>
    </row>
    <row r="39" ht="15.75" spans="1:8">
      <c r="A39" s="150"/>
      <c r="B39" s="99"/>
      <c r="C39" s="65"/>
      <c r="D39" s="215"/>
      <c r="E39" s="99"/>
      <c r="F39" s="65"/>
      <c r="G39" s="213"/>
      <c r="H39" s="213"/>
    </row>
    <row r="40" ht="15.75" spans="1:8">
      <c r="A40" s="150"/>
      <c r="B40" s="99"/>
      <c r="C40" s="65"/>
      <c r="D40" s="215"/>
      <c r="E40" s="99"/>
      <c r="F40" s="65"/>
      <c r="G40" s="213"/>
      <c r="H40" s="213"/>
    </row>
    <row r="41" ht="15.75" spans="1:8">
      <c r="A41" s="150"/>
      <c r="B41" s="99"/>
      <c r="C41" s="214"/>
      <c r="D41" s="215"/>
      <c r="E41" s="99"/>
      <c r="F41" s="65"/>
      <c r="G41" s="213"/>
      <c r="H41" s="213"/>
    </row>
    <row r="42" ht="15.75" spans="1:8">
      <c r="A42" s="150"/>
      <c r="B42" s="99"/>
      <c r="C42" s="65"/>
      <c r="D42" s="215"/>
      <c r="E42" s="99"/>
      <c r="F42" s="65"/>
      <c r="G42" s="213"/>
      <c r="H42" s="213"/>
    </row>
    <row r="43" ht="15.75" spans="1:8">
      <c r="A43" s="150"/>
      <c r="B43" s="65"/>
      <c r="C43" s="65"/>
      <c r="D43" s="215"/>
      <c r="E43" s="99"/>
      <c r="F43" s="168"/>
      <c r="G43" s="213"/>
      <c r="H43" s="213"/>
    </row>
    <row r="44" ht="15.75" spans="1:8">
      <c r="A44" s="150"/>
      <c r="B44" s="65"/>
      <c r="C44" s="65"/>
      <c r="D44" s="215"/>
      <c r="E44" s="99"/>
      <c r="F44" s="148"/>
      <c r="G44" s="213"/>
      <c r="H44" s="213"/>
    </row>
    <row r="45" ht="15.75" spans="1:8">
      <c r="A45" s="217"/>
      <c r="B45" s="65"/>
      <c r="C45" s="65"/>
      <c r="D45" s="215"/>
      <c r="E45" s="99"/>
      <c r="F45" s="148"/>
      <c r="G45" s="213"/>
      <c r="H45" s="213"/>
    </row>
    <row r="46" ht="15.75" spans="1:8">
      <c r="A46" s="150"/>
      <c r="B46" s="65"/>
      <c r="C46" s="65"/>
      <c r="D46" s="215"/>
      <c r="E46" s="99"/>
      <c r="F46" s="148"/>
      <c r="G46" s="213"/>
      <c r="H46" s="213"/>
    </row>
    <row r="47" ht="15.75" spans="1:8">
      <c r="A47" s="150"/>
      <c r="B47" s="65"/>
      <c r="C47" s="65"/>
      <c r="D47" s="215"/>
      <c r="E47" s="99"/>
      <c r="F47" s="148"/>
      <c r="G47" s="213"/>
      <c r="H47" s="213"/>
    </row>
    <row r="48" ht="15.75" spans="1:8">
      <c r="A48" s="150"/>
      <c r="B48" s="65"/>
      <c r="C48" s="65"/>
      <c r="D48" s="215"/>
      <c r="E48" s="99"/>
      <c r="F48" s="148"/>
      <c r="G48" s="213"/>
      <c r="H48" s="213"/>
    </row>
    <row r="49" ht="15.75" spans="1:8">
      <c r="A49" s="150"/>
      <c r="B49" s="65"/>
      <c r="C49" s="65"/>
      <c r="D49" s="215"/>
      <c r="E49" s="99"/>
      <c r="F49" s="99"/>
      <c r="G49" s="213"/>
      <c r="H49" s="213"/>
    </row>
    <row r="50" ht="15.75" spans="1:8">
      <c r="A50" s="150"/>
      <c r="B50" s="65"/>
      <c r="C50" s="65"/>
      <c r="D50" s="215"/>
      <c r="E50" s="99"/>
      <c r="F50" s="99"/>
      <c r="G50" s="213"/>
      <c r="H50" s="213"/>
    </row>
    <row r="51" ht="15.75" spans="1:8">
      <c r="A51" s="150"/>
      <c r="B51" s="65"/>
      <c r="C51" s="65"/>
      <c r="D51" s="215"/>
      <c r="E51" s="99"/>
      <c r="F51" s="65"/>
      <c r="G51" s="213"/>
      <c r="H51" s="213"/>
    </row>
    <row r="52" ht="15.75" spans="1:8">
      <c r="A52" s="150"/>
      <c r="B52" s="65"/>
      <c r="C52" s="65"/>
      <c r="D52" s="215"/>
      <c r="E52" s="99"/>
      <c r="F52" s="65"/>
      <c r="G52" s="213"/>
      <c r="H52" s="213"/>
    </row>
    <row r="53" ht="15.75" spans="1:8">
      <c r="A53" s="150"/>
      <c r="B53" s="65"/>
      <c r="C53" s="65"/>
      <c r="D53" s="215"/>
      <c r="E53" s="99"/>
      <c r="F53" s="99"/>
      <c r="G53" s="213"/>
      <c r="H53" s="213"/>
    </row>
    <row r="54" ht="15.75" spans="1:8">
      <c r="A54" s="150"/>
      <c r="B54" s="65"/>
      <c r="C54" s="65"/>
      <c r="D54" s="215"/>
      <c r="E54" s="99"/>
      <c r="F54" s="65"/>
      <c r="G54" s="213"/>
      <c r="H54" s="213"/>
    </row>
    <row r="55" ht="15.75" spans="1:8">
      <c r="A55" s="150"/>
      <c r="B55" s="65"/>
      <c r="C55" s="65"/>
      <c r="D55" s="215"/>
      <c r="E55" s="99"/>
      <c r="F55" s="65"/>
      <c r="G55" s="213"/>
      <c r="H55" s="213"/>
    </row>
    <row r="56" ht="15.75" spans="1:8">
      <c r="A56" s="150"/>
      <c r="B56" s="65"/>
      <c r="C56" s="65"/>
      <c r="D56" s="215"/>
      <c r="E56" s="99"/>
      <c r="F56" s="65"/>
      <c r="G56" s="213"/>
      <c r="H56" s="213"/>
    </row>
    <row r="57" ht="15.75" spans="1:8">
      <c r="A57" s="150"/>
      <c r="B57" s="218"/>
      <c r="C57" s="218"/>
      <c r="D57" s="215"/>
      <c r="E57" s="99"/>
      <c r="F57" s="65"/>
      <c r="G57" s="213"/>
      <c r="H57" s="213"/>
    </row>
    <row r="58" ht="15.75" spans="1:8">
      <c r="A58" s="150"/>
      <c r="B58" s="65"/>
      <c r="C58" s="65"/>
      <c r="D58" s="215"/>
      <c r="E58" s="65"/>
      <c r="F58" s="65"/>
      <c r="G58" s="219"/>
      <c r="H58" s="219"/>
    </row>
    <row r="59" ht="15.75" spans="1:8">
      <c r="A59" s="150"/>
      <c r="B59" s="65"/>
      <c r="C59" s="220"/>
      <c r="D59" s="215"/>
      <c r="E59" s="99"/>
      <c r="F59" s="168"/>
      <c r="G59" s="213"/>
      <c r="H59" s="213"/>
    </row>
    <row r="60" ht="15.75" spans="1:8">
      <c r="A60" s="150"/>
      <c r="B60" s="65"/>
      <c r="C60" s="65"/>
      <c r="D60" s="215"/>
      <c r="E60" s="65"/>
      <c r="F60" s="65"/>
      <c r="G60" s="219"/>
      <c r="H60" s="219"/>
    </row>
    <row r="61" ht="15.75" spans="1:8">
      <c r="A61" s="150"/>
      <c r="B61" s="65"/>
      <c r="C61" s="65"/>
      <c r="D61" s="215"/>
      <c r="E61" s="99"/>
      <c r="F61" s="148"/>
      <c r="G61" s="219"/>
      <c r="H61" s="219"/>
    </row>
    <row r="62" ht="15.75" spans="1:8">
      <c r="A62" s="150"/>
      <c r="B62" s="65"/>
      <c r="C62" s="65"/>
      <c r="D62" s="215"/>
      <c r="E62" s="99"/>
      <c r="F62" s="148"/>
      <c r="G62" s="219"/>
      <c r="H62" s="219"/>
    </row>
    <row r="63" ht="15.75" spans="1:8">
      <c r="A63" s="150"/>
      <c r="B63" s="65"/>
      <c r="C63" s="65"/>
      <c r="D63" s="215"/>
      <c r="E63" s="99"/>
      <c r="F63" s="148"/>
      <c r="G63" s="219"/>
      <c r="H63" s="219"/>
    </row>
    <row r="64" ht="15.75" spans="1:8">
      <c r="A64" s="150"/>
      <c r="B64" s="65"/>
      <c r="C64" s="65"/>
      <c r="D64" s="215"/>
      <c r="E64" s="99"/>
      <c r="F64" s="148"/>
      <c r="G64" s="219"/>
      <c r="H64" s="219"/>
    </row>
    <row r="65" ht="15.75" spans="1:8">
      <c r="A65" s="150"/>
      <c r="B65" s="65"/>
      <c r="C65" s="65"/>
      <c r="D65" s="215"/>
      <c r="E65" s="99"/>
      <c r="F65" s="148"/>
      <c r="G65" s="219"/>
      <c r="H65" s="219"/>
    </row>
    <row r="66" ht="15.75" spans="1:8">
      <c r="A66" s="150"/>
      <c r="B66" s="65"/>
      <c r="C66" s="65"/>
      <c r="D66" s="215"/>
      <c r="E66" s="99"/>
      <c r="F66" s="99"/>
      <c r="G66" s="213"/>
      <c r="H66" s="213"/>
    </row>
    <row r="67" ht="15.75" spans="1:8">
      <c r="A67" s="150"/>
      <c r="B67" s="65"/>
      <c r="C67" s="65"/>
      <c r="D67" s="215"/>
      <c r="E67" s="99"/>
      <c r="F67" s="169"/>
      <c r="G67" s="213"/>
      <c r="H67" s="213"/>
    </row>
    <row r="68" ht="15.75" spans="1:8">
      <c r="A68" s="150"/>
      <c r="B68" s="65"/>
      <c r="C68" s="65"/>
      <c r="D68" s="215"/>
      <c r="E68" s="99"/>
      <c r="F68" s="99"/>
      <c r="G68" s="213"/>
      <c r="H68" s="213"/>
    </row>
    <row r="69" ht="15.75" spans="1:8">
      <c r="A69" s="150"/>
      <c r="B69" s="223"/>
      <c r="C69" s="218"/>
      <c r="D69" s="215"/>
      <c r="E69" s="99"/>
      <c r="F69" s="224"/>
      <c r="G69" s="213"/>
      <c r="H69" s="213"/>
    </row>
    <row r="70" ht="15.75" spans="1:8">
      <c r="A70" s="150"/>
      <c r="B70" s="225"/>
      <c r="C70" s="65"/>
      <c r="D70" s="215"/>
      <c r="E70" s="99"/>
      <c r="F70" s="150"/>
      <c r="G70" s="213"/>
      <c r="H70" s="213"/>
    </row>
    <row r="71" ht="15.75" spans="1:8">
      <c r="A71" s="150"/>
      <c r="B71" s="225"/>
      <c r="C71" s="65"/>
      <c r="D71" s="215"/>
      <c r="E71" s="99"/>
      <c r="F71" s="65"/>
      <c r="G71" s="213"/>
      <c r="H71" s="213"/>
    </row>
    <row r="72" ht="15.75" spans="1:8">
      <c r="A72" s="150"/>
      <c r="B72" s="225"/>
      <c r="C72" s="65"/>
      <c r="D72" s="215"/>
      <c r="E72" s="99"/>
      <c r="F72" s="226"/>
      <c r="G72" s="213"/>
      <c r="H72" s="213"/>
    </row>
    <row r="73" ht="15.75" spans="1:8">
      <c r="A73" s="150"/>
      <c r="B73" s="225"/>
      <c r="C73" s="65"/>
      <c r="D73" s="215"/>
      <c r="E73" s="99"/>
      <c r="F73" s="227"/>
      <c r="G73" s="213"/>
      <c r="H73" s="213"/>
    </row>
    <row r="74" ht="15.75" spans="1:8">
      <c r="A74" s="150"/>
      <c r="B74" s="225"/>
      <c r="C74" s="65"/>
      <c r="D74" s="215"/>
      <c r="E74" s="99"/>
      <c r="F74" s="65"/>
      <c r="G74" s="213"/>
      <c r="H74" s="213"/>
    </row>
    <row r="75" ht="15.75" spans="1:8">
      <c r="A75" s="150"/>
      <c r="B75" s="225"/>
      <c r="C75" s="65"/>
      <c r="D75" s="215"/>
      <c r="E75" s="99"/>
      <c r="F75" s="65"/>
      <c r="G75" s="213"/>
      <c r="H75" s="213"/>
    </row>
    <row r="76" ht="15.75" spans="1:8">
      <c r="A76" s="150"/>
      <c r="B76" s="225"/>
      <c r="C76" s="65"/>
      <c r="D76" s="215"/>
      <c r="E76" s="217"/>
      <c r="F76" s="65"/>
      <c r="G76" s="219"/>
      <c r="H76" s="219"/>
    </row>
    <row r="77" ht="15.75" spans="1:8">
      <c r="A77" s="99"/>
      <c r="B77" s="225"/>
      <c r="C77" s="65"/>
      <c r="D77" s="215"/>
      <c r="E77" s="217"/>
      <c r="F77" s="65"/>
      <c r="G77" s="213"/>
      <c r="H77" s="213"/>
    </row>
    <row r="78" ht="15.75" spans="1:8">
      <c r="A78" s="99"/>
      <c r="B78" s="225"/>
      <c r="C78" s="65"/>
      <c r="D78" s="215"/>
      <c r="E78" s="217"/>
      <c r="F78" s="65"/>
      <c r="G78" s="219"/>
      <c r="H78" s="228"/>
    </row>
    <row r="79" ht="15.75" spans="1:8">
      <c r="A79" s="99"/>
      <c r="B79" s="225"/>
      <c r="C79" s="65"/>
      <c r="D79" s="215"/>
      <c r="E79" s="217"/>
      <c r="F79" s="65"/>
      <c r="G79" s="213"/>
      <c r="H79" s="213"/>
    </row>
    <row r="80" ht="15.75" spans="1:8">
      <c r="A80" s="99"/>
      <c r="B80" s="225"/>
      <c r="C80" s="65"/>
      <c r="D80" s="215"/>
      <c r="E80" s="217"/>
      <c r="F80" s="65"/>
      <c r="G80" s="213"/>
      <c r="H80" s="213"/>
    </row>
    <row r="81" ht="15.75" spans="1:8">
      <c r="A81" s="99"/>
      <c r="B81" s="225"/>
      <c r="C81" s="65"/>
      <c r="D81" s="215"/>
      <c r="E81" s="217"/>
      <c r="F81" s="65"/>
      <c r="G81" s="213"/>
      <c r="H81" s="213"/>
    </row>
    <row r="82" ht="15.75" spans="1:8">
      <c r="A82" s="99"/>
      <c r="B82" s="225"/>
      <c r="C82" s="65"/>
      <c r="D82" s="215"/>
      <c r="E82" s="217"/>
      <c r="F82" s="65"/>
      <c r="G82" s="213"/>
      <c r="H82" s="213"/>
    </row>
    <row r="83" ht="15.75" spans="1:8">
      <c r="A83" s="99"/>
      <c r="B83" s="223"/>
      <c r="C83" s="218"/>
      <c r="D83" s="215"/>
      <c r="E83" s="217"/>
      <c r="F83" s="65"/>
      <c r="G83" s="213"/>
      <c r="H83" s="213"/>
    </row>
    <row r="84" ht="15.75" spans="1:8">
      <c r="A84" s="99"/>
      <c r="B84" s="225"/>
      <c r="C84" s="65"/>
      <c r="D84" s="215"/>
      <c r="E84" s="217"/>
      <c r="F84" s="65"/>
      <c r="G84" s="213"/>
      <c r="H84" s="213"/>
    </row>
    <row r="85" ht="15.75" spans="1:8">
      <c r="A85" s="99"/>
      <c r="B85" s="225"/>
      <c r="C85" s="65"/>
      <c r="D85" s="215"/>
      <c r="E85" s="217"/>
      <c r="F85" s="65"/>
      <c r="G85" s="213"/>
      <c r="H85" s="213"/>
    </row>
    <row r="86" ht="15.75" spans="1:8">
      <c r="A86" s="99"/>
      <c r="B86" s="225"/>
      <c r="C86" s="65"/>
      <c r="D86" s="215"/>
      <c r="E86" s="217"/>
      <c r="F86" s="65"/>
      <c r="G86" s="213"/>
      <c r="H86" s="213"/>
    </row>
    <row r="87" ht="15.75" spans="1:8">
      <c r="A87" s="99"/>
      <c r="B87" s="225"/>
      <c r="C87" s="65"/>
      <c r="D87" s="215"/>
      <c r="E87" s="217"/>
      <c r="F87" s="65"/>
      <c r="G87" s="213"/>
      <c r="H87" s="213"/>
    </row>
    <row r="88" ht="15.75" spans="1:8">
      <c r="A88" s="150"/>
      <c r="B88" s="225"/>
      <c r="C88" s="65"/>
      <c r="D88" s="215"/>
      <c r="E88" s="65"/>
      <c r="F88" s="65"/>
      <c r="G88" s="219"/>
      <c r="H88" s="219"/>
    </row>
    <row r="89" ht="15.75" spans="1:8">
      <c r="A89" s="150"/>
      <c r="B89" s="147"/>
      <c r="C89" s="65"/>
      <c r="D89" s="215"/>
      <c r="E89" s="99"/>
      <c r="F89" s="65"/>
      <c r="G89" s="213"/>
      <c r="H89" s="213"/>
    </row>
    <row r="90" ht="15.75" spans="1:8">
      <c r="A90" s="99"/>
      <c r="B90" s="225"/>
      <c r="C90" s="65"/>
      <c r="D90" s="215"/>
      <c r="E90" s="217"/>
      <c r="F90" s="65"/>
      <c r="G90" s="219"/>
      <c r="H90" s="219"/>
    </row>
    <row r="91" ht="15.75" spans="1:8">
      <c r="A91" s="150"/>
      <c r="B91" s="225"/>
      <c r="C91" s="65"/>
      <c r="D91" s="215"/>
      <c r="E91" s="99"/>
      <c r="F91" s="65"/>
      <c r="G91" s="219"/>
      <c r="H91" s="219"/>
    </row>
    <row r="92" ht="15.75" spans="1:8">
      <c r="A92" s="99"/>
      <c r="B92" s="225"/>
      <c r="C92" s="65"/>
      <c r="D92" s="215"/>
      <c r="E92" s="217"/>
      <c r="F92" s="65"/>
      <c r="G92" s="219"/>
      <c r="H92" s="219"/>
    </row>
    <row r="93" ht="15.75" spans="1:8">
      <c r="A93" s="150"/>
      <c r="B93" s="229"/>
      <c r="C93" s="214"/>
      <c r="D93" s="215"/>
      <c r="E93" s="99"/>
      <c r="F93" s="214"/>
      <c r="G93" s="213"/>
      <c r="H93" s="213"/>
    </row>
    <row r="94" ht="15.75" spans="1:8">
      <c r="A94" s="99"/>
      <c r="B94" s="230"/>
      <c r="C94" s="231"/>
      <c r="D94" s="215"/>
      <c r="E94" s="232"/>
      <c r="F94" s="148"/>
      <c r="G94" s="202"/>
      <c r="H94" s="202"/>
    </row>
    <row r="95" ht="15.75" spans="1:8">
      <c r="A95" s="99"/>
      <c r="B95" s="225"/>
      <c r="C95" s="65"/>
      <c r="D95" s="215"/>
      <c r="E95" s="217"/>
      <c r="F95" s="65"/>
      <c r="G95" s="213"/>
      <c r="H95" s="213"/>
    </row>
    <row r="96" ht="15.75" spans="1:8">
      <c r="A96" s="150"/>
      <c r="B96" s="230"/>
      <c r="C96" s="231"/>
      <c r="D96" s="215"/>
      <c r="E96" s="232"/>
      <c r="F96" s="148"/>
      <c r="G96" s="213"/>
      <c r="H96" s="213"/>
    </row>
    <row r="97" ht="15.75" spans="1:8">
      <c r="A97" s="99"/>
      <c r="B97" s="230"/>
      <c r="C97" s="208"/>
      <c r="D97" s="215"/>
      <c r="E97" s="209"/>
      <c r="F97" s="210"/>
      <c r="G97" s="233"/>
      <c r="H97" s="233"/>
    </row>
    <row r="98" ht="15.75" spans="1:8">
      <c r="A98" s="150"/>
      <c r="B98" s="234"/>
      <c r="C98" s="235"/>
      <c r="D98" s="215"/>
      <c r="E98" s="168"/>
      <c r="F98" s="235"/>
      <c r="G98" s="236"/>
      <c r="H98" s="236"/>
    </row>
    <row r="99" ht="15.75" spans="1:8">
      <c r="A99" s="99"/>
      <c r="B99" s="234"/>
      <c r="C99" s="235"/>
      <c r="D99" s="215"/>
      <c r="E99" s="168"/>
      <c r="F99" s="235"/>
      <c r="G99" s="236"/>
      <c r="H99" s="236"/>
    </row>
    <row r="100" ht="15.75" spans="1:8">
      <c r="A100" s="150"/>
      <c r="B100" s="237"/>
      <c r="C100" s="235"/>
      <c r="D100" s="215"/>
      <c r="E100" s="168"/>
      <c r="F100" s="235"/>
      <c r="G100" s="236"/>
      <c r="H100" s="236"/>
    </row>
    <row r="101" ht="15.75" spans="1:8">
      <c r="A101" s="99"/>
      <c r="B101" s="237"/>
      <c r="C101" s="235"/>
      <c r="D101" s="215"/>
      <c r="E101" s="168"/>
      <c r="F101" s="238"/>
      <c r="G101" s="236"/>
      <c r="H101" s="236"/>
    </row>
    <row r="102" ht="18" customHeight="1" spans="1:8">
      <c r="A102" s="150"/>
      <c r="B102" s="237"/>
      <c r="C102" s="235"/>
      <c r="D102" s="215"/>
      <c r="E102" s="168"/>
      <c r="F102" s="235"/>
      <c r="G102" s="236"/>
      <c r="H102" s="236"/>
    </row>
    <row r="103" ht="15.75" spans="1:8">
      <c r="A103" s="99"/>
      <c r="B103" s="237"/>
      <c r="C103" s="235"/>
      <c r="D103" s="215"/>
      <c r="E103" s="168"/>
      <c r="F103" s="168"/>
      <c r="G103" s="236"/>
      <c r="H103" s="236"/>
    </row>
    <row r="104" ht="15.75" spans="1:8">
      <c r="A104" s="150"/>
      <c r="B104" s="235"/>
      <c r="C104" s="235"/>
      <c r="D104" s="215"/>
      <c r="E104" s="168"/>
      <c r="F104" s="168"/>
      <c r="G104" s="236"/>
      <c r="H104" s="236"/>
    </row>
    <row r="105" ht="15.75" spans="1:8">
      <c r="A105" s="99"/>
      <c r="B105" s="239"/>
      <c r="C105" s="240"/>
      <c r="D105" s="215"/>
      <c r="E105" s="240"/>
      <c r="F105" s="240"/>
      <c r="G105" s="213"/>
      <c r="H105" s="213"/>
    </row>
    <row r="106" ht="15.75" spans="1:8">
      <c r="A106" s="150"/>
      <c r="B106" s="150"/>
      <c r="C106" s="65"/>
      <c r="D106" s="215"/>
      <c r="E106" s="217"/>
      <c r="F106" s="65"/>
      <c r="G106" s="241"/>
      <c r="H106" s="241"/>
    </row>
    <row r="107" ht="15.75" spans="1:8">
      <c r="A107" s="99"/>
      <c r="B107" s="239"/>
      <c r="C107" s="240"/>
      <c r="D107" s="215"/>
      <c r="E107" s="240"/>
      <c r="F107" s="240"/>
      <c r="G107" s="213"/>
      <c r="H107" s="213"/>
    </row>
    <row r="108" ht="15.75" spans="1:8">
      <c r="A108" s="99"/>
      <c r="B108" s="150"/>
      <c r="C108" s="65"/>
      <c r="D108" s="215"/>
      <c r="E108" s="217"/>
      <c r="F108" s="65"/>
      <c r="G108" s="241"/>
      <c r="H108" s="241"/>
    </row>
    <row r="109" ht="15.75" spans="1:8">
      <c r="A109" s="99"/>
      <c r="B109" s="239"/>
      <c r="C109" s="240"/>
      <c r="D109" s="215"/>
      <c r="E109" s="240"/>
      <c r="F109" s="240"/>
      <c r="G109" s="213"/>
      <c r="H109" s="213"/>
    </row>
    <row r="110" ht="15.75" spans="1:8">
      <c r="A110" s="99"/>
      <c r="B110" s="150"/>
      <c r="C110" s="65"/>
      <c r="D110" s="215"/>
      <c r="E110" s="217"/>
      <c r="F110" s="65"/>
      <c r="G110" s="241"/>
      <c r="H110" s="241"/>
    </row>
    <row r="111" ht="15.75" spans="1:8">
      <c r="A111" s="99"/>
      <c r="B111" s="150"/>
      <c r="C111" s="240"/>
      <c r="D111" s="215"/>
      <c r="E111" s="240"/>
      <c r="F111" s="240"/>
      <c r="G111" s="236"/>
      <c r="H111" s="236"/>
    </row>
    <row r="112" ht="15.75" spans="1:8">
      <c r="A112" s="99"/>
      <c r="B112" s="150"/>
      <c r="C112" s="65"/>
      <c r="D112" s="215"/>
      <c r="E112" s="217"/>
      <c r="F112" s="65"/>
      <c r="G112" s="236"/>
      <c r="H112" s="236"/>
    </row>
    <row r="113" ht="15.75" spans="1:8">
      <c r="A113" s="99"/>
      <c r="B113" s="150"/>
      <c r="C113" s="65"/>
      <c r="D113" s="215"/>
      <c r="E113" s="242"/>
      <c r="F113" s="65"/>
      <c r="G113" s="236"/>
      <c r="H113" s="236"/>
    </row>
    <row r="114" ht="15.75" spans="1:8">
      <c r="A114" s="99"/>
      <c r="B114" s="150"/>
      <c r="C114" s="65"/>
      <c r="D114" s="215"/>
      <c r="E114" s="242"/>
      <c r="F114" s="65"/>
      <c r="G114" s="236"/>
      <c r="H114" s="236"/>
    </row>
    <row r="115" ht="15.75" spans="1:8">
      <c r="A115" s="99"/>
      <c r="B115" s="243"/>
      <c r="C115" s="243"/>
      <c r="D115" s="215"/>
      <c r="E115" s="243"/>
      <c r="F115" s="243"/>
      <c r="G115" s="236"/>
      <c r="H115" s="236"/>
    </row>
    <row r="116" ht="15.75" spans="1:8">
      <c r="A116" s="99"/>
      <c r="B116" s="243"/>
      <c r="C116" s="243"/>
      <c r="D116" s="215"/>
      <c r="E116" s="243"/>
      <c r="F116" s="243"/>
      <c r="G116" s="236"/>
      <c r="H116" s="236"/>
    </row>
    <row r="117" ht="15.75" spans="1:8">
      <c r="A117" s="99"/>
      <c r="B117" s="243"/>
      <c r="C117" s="243"/>
      <c r="D117" s="215"/>
      <c r="E117" s="243"/>
      <c r="F117" s="243"/>
      <c r="G117" s="236"/>
      <c r="H117" s="236"/>
    </row>
    <row r="118" ht="34" customHeight="1" spans="1:8">
      <c r="A118" s="99"/>
      <c r="B118" s="150"/>
      <c r="C118" s="65"/>
      <c r="D118" s="215"/>
      <c r="E118" s="243"/>
      <c r="F118" s="65"/>
      <c r="G118" s="236"/>
      <c r="H118" s="236"/>
    </row>
    <row r="119" spans="1:8">
      <c r="A119" s="215"/>
      <c r="B119" s="215"/>
      <c r="C119" s="215"/>
      <c r="D119" s="215"/>
      <c r="E119" s="215"/>
      <c r="F119" s="215"/>
      <c r="G119" s="244"/>
      <c r="H119" s="245"/>
    </row>
  </sheetData>
  <mergeCells count="1">
    <mergeCell ref="A1:I1"/>
  </mergeCells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1"/>
  <sheetViews>
    <sheetView topLeftCell="A18" workbookViewId="0">
      <selection activeCell="J7" sqref="J7"/>
    </sheetView>
  </sheetViews>
  <sheetFormatPr defaultColWidth="9.1047619047619" defaultRowHeight="12.75"/>
  <cols>
    <col min="1" max="1" width="7.85714285714286" style="5" customWidth="1"/>
    <col min="2" max="2" width="11.1047619047619" style="5" customWidth="1"/>
    <col min="3" max="3" width="29" style="5" customWidth="1"/>
    <col min="4" max="4" width="32.2857142857143" style="5" customWidth="1"/>
    <col min="5" max="5" width="31.2857142857143" style="5" customWidth="1"/>
    <col min="6" max="6" width="20.4285714285714" style="6" customWidth="1"/>
    <col min="7" max="7" width="10.4285714285714" style="7" customWidth="1"/>
    <col min="8" max="8" width="12" style="2" customWidth="1"/>
    <col min="9" max="16377" width="9.1047619047619" style="2"/>
    <col min="16378" max="16384" width="9.1047619047619" style="160"/>
  </cols>
  <sheetData>
    <row r="1" s="31" customFormat="1" ht="30" spans="1:9">
      <c r="A1" s="34" t="s">
        <v>606</v>
      </c>
      <c r="B1" s="34"/>
      <c r="C1" s="34"/>
      <c r="D1" s="34"/>
      <c r="E1" s="34"/>
      <c r="F1" s="34"/>
      <c r="G1" s="34"/>
      <c r="H1" s="34"/>
      <c r="I1" s="34"/>
    </row>
    <row r="2" s="160" customFormat="1" spans="1:9">
      <c r="A2" s="161"/>
      <c r="B2" s="161"/>
      <c r="C2" s="161"/>
      <c r="D2" s="161"/>
      <c r="E2" s="161"/>
      <c r="F2" s="161"/>
      <c r="G2" s="161"/>
      <c r="H2" s="161"/>
      <c r="I2" s="161"/>
    </row>
    <row r="3" s="32" customFormat="1" ht="24" customHeight="1" spans="1:9">
      <c r="A3" s="39" t="s">
        <v>1</v>
      </c>
      <c r="B3" s="39" t="s">
        <v>2</v>
      </c>
      <c r="C3" s="39" t="s">
        <v>3</v>
      </c>
      <c r="D3" s="39" t="s">
        <v>4</v>
      </c>
      <c r="E3" s="39" t="s">
        <v>5</v>
      </c>
      <c r="F3" s="39" t="s">
        <v>6</v>
      </c>
      <c r="G3" s="39" t="s">
        <v>7</v>
      </c>
      <c r="H3" s="39" t="s">
        <v>8</v>
      </c>
      <c r="I3" s="39" t="s">
        <v>9</v>
      </c>
    </row>
    <row r="4" s="2" customFormat="1" ht="38" customHeight="1" spans="1:8">
      <c r="A4" s="162"/>
      <c r="B4" s="61" t="s">
        <v>607</v>
      </c>
      <c r="C4" s="63" t="s">
        <v>608</v>
      </c>
      <c r="D4" s="163"/>
      <c r="E4" s="63" t="s">
        <v>609</v>
      </c>
      <c r="F4" s="63" t="s">
        <v>610</v>
      </c>
      <c r="G4" s="164">
        <f>H4*1.7</f>
        <v>5922.8</v>
      </c>
      <c r="H4" s="148">
        <v>3484</v>
      </c>
    </row>
    <row r="5" s="2" customFormat="1" ht="38" customHeight="1" spans="1:8">
      <c r="A5" s="162"/>
      <c r="B5" s="99" t="s">
        <v>611</v>
      </c>
      <c r="C5" s="61" t="s">
        <v>612</v>
      </c>
      <c r="D5" s="163"/>
      <c r="E5" s="63" t="s">
        <v>613</v>
      </c>
      <c r="F5" s="63" t="s">
        <v>614</v>
      </c>
      <c r="G5" s="164">
        <f t="shared" ref="G5:G31" si="0">H5*1.7</f>
        <v>11073.8</v>
      </c>
      <c r="H5" s="165">
        <v>6514</v>
      </c>
    </row>
    <row r="6" s="2" customFormat="1" ht="20" customHeight="1" spans="1:8">
      <c r="A6" s="162"/>
      <c r="B6" s="99" t="s">
        <v>615</v>
      </c>
      <c r="C6" s="61" t="s">
        <v>612</v>
      </c>
      <c r="D6" s="163"/>
      <c r="E6" s="63" t="s">
        <v>616</v>
      </c>
      <c r="F6" s="63" t="s">
        <v>614</v>
      </c>
      <c r="G6" s="164">
        <f t="shared" si="0"/>
        <v>8010.4</v>
      </c>
      <c r="H6" s="165">
        <v>4712</v>
      </c>
    </row>
    <row r="7" s="2" customFormat="1" ht="17" customHeight="1" spans="1:8">
      <c r="A7" s="162"/>
      <c r="B7" s="61" t="s">
        <v>617</v>
      </c>
      <c r="C7" s="61" t="s">
        <v>618</v>
      </c>
      <c r="D7" s="163"/>
      <c r="E7" s="63" t="s">
        <v>619</v>
      </c>
      <c r="F7" s="63" t="s">
        <v>620</v>
      </c>
      <c r="G7" s="164">
        <f t="shared" si="0"/>
        <v>3683.9</v>
      </c>
      <c r="H7" s="145">
        <v>2167</v>
      </c>
    </row>
    <row r="8" s="2" customFormat="1" ht="17" customHeight="1" spans="1:8">
      <c r="A8" s="162"/>
      <c r="B8" s="61" t="s">
        <v>621</v>
      </c>
      <c r="C8" s="61" t="s">
        <v>622</v>
      </c>
      <c r="D8" s="163"/>
      <c r="E8" s="63" t="s">
        <v>623</v>
      </c>
      <c r="F8" s="63" t="s">
        <v>620</v>
      </c>
      <c r="G8" s="164">
        <f t="shared" si="0"/>
        <v>2971.6</v>
      </c>
      <c r="H8" s="145">
        <v>1748</v>
      </c>
    </row>
    <row r="9" s="2" customFormat="1" ht="15" customHeight="1" spans="1:8">
      <c r="A9" s="162"/>
      <c r="B9" s="166" t="s">
        <v>624</v>
      </c>
      <c r="C9" s="61" t="s">
        <v>625</v>
      </c>
      <c r="D9" s="163"/>
      <c r="E9" s="63" t="s">
        <v>626</v>
      </c>
      <c r="F9" s="63" t="s">
        <v>627</v>
      </c>
      <c r="G9" s="164">
        <f t="shared" si="0"/>
        <v>11658.6</v>
      </c>
      <c r="H9" s="145">
        <v>6858</v>
      </c>
    </row>
    <row r="10" s="2" customFormat="1" ht="17" customHeight="1" spans="1:8">
      <c r="A10" s="162"/>
      <c r="B10" s="166" t="s">
        <v>628</v>
      </c>
      <c r="C10" s="61" t="s">
        <v>629</v>
      </c>
      <c r="D10" s="163"/>
      <c r="E10" s="63" t="s">
        <v>630</v>
      </c>
      <c r="F10" s="63" t="s">
        <v>627</v>
      </c>
      <c r="G10" s="164">
        <f t="shared" si="0"/>
        <v>13020.3</v>
      </c>
      <c r="H10" s="145">
        <v>7659</v>
      </c>
    </row>
    <row r="11" s="2" customFormat="1" ht="19" customHeight="1" spans="1:8">
      <c r="A11" s="162"/>
      <c r="B11" s="62" t="s">
        <v>631</v>
      </c>
      <c r="C11" s="101" t="s">
        <v>632</v>
      </c>
      <c r="D11" s="163"/>
      <c r="E11" s="101" t="s">
        <v>633</v>
      </c>
      <c r="F11" s="101" t="s">
        <v>627</v>
      </c>
      <c r="G11" s="164">
        <f t="shared" si="0"/>
        <v>10791.6</v>
      </c>
      <c r="H11" s="167">
        <v>6348</v>
      </c>
    </row>
    <row r="12" s="2" customFormat="1" ht="23" customHeight="1" spans="1:8">
      <c r="A12" s="162"/>
      <c r="B12" s="168" t="s">
        <v>634</v>
      </c>
      <c r="C12" s="168" t="s">
        <v>142</v>
      </c>
      <c r="D12" s="163"/>
      <c r="E12" s="169" t="s">
        <v>635</v>
      </c>
      <c r="F12" s="169" t="s">
        <v>610</v>
      </c>
      <c r="G12" s="164">
        <f t="shared" si="0"/>
        <v>13691.8</v>
      </c>
      <c r="H12" s="167">
        <v>8054</v>
      </c>
    </row>
    <row r="13" s="2" customFormat="1" ht="21" customHeight="1" spans="1:8">
      <c r="A13" s="162"/>
      <c r="B13" s="168" t="s">
        <v>636</v>
      </c>
      <c r="C13" s="168" t="s">
        <v>142</v>
      </c>
      <c r="D13" s="163"/>
      <c r="E13" s="169" t="s">
        <v>637</v>
      </c>
      <c r="F13" s="169" t="s">
        <v>638</v>
      </c>
      <c r="G13" s="164">
        <f t="shared" si="0"/>
        <v>6949.6</v>
      </c>
      <c r="H13" s="167">
        <v>4088</v>
      </c>
    </row>
    <row r="14" s="2" customFormat="1" ht="20" customHeight="1" spans="1:8">
      <c r="A14" s="162"/>
      <c r="B14" s="62" t="s">
        <v>639</v>
      </c>
      <c r="C14" s="62" t="s">
        <v>142</v>
      </c>
      <c r="D14" s="163"/>
      <c r="E14" s="169" t="s">
        <v>637</v>
      </c>
      <c r="F14" s="101" t="s">
        <v>640</v>
      </c>
      <c r="G14" s="164">
        <f t="shared" si="0"/>
        <v>8029.1</v>
      </c>
      <c r="H14" s="167">
        <v>4723</v>
      </c>
    </row>
    <row r="15" s="2" customFormat="1" ht="22" customHeight="1" spans="1:8">
      <c r="A15" s="162"/>
      <c r="B15" s="168" t="s">
        <v>641</v>
      </c>
      <c r="C15" s="168" t="s">
        <v>642</v>
      </c>
      <c r="D15" s="163"/>
      <c r="E15" s="169" t="s">
        <v>643</v>
      </c>
      <c r="F15" s="101" t="s">
        <v>640</v>
      </c>
      <c r="G15" s="164">
        <f t="shared" si="0"/>
        <v>20444.2</v>
      </c>
      <c r="H15" s="167">
        <v>12026</v>
      </c>
    </row>
    <row r="16" s="2" customFormat="1" ht="22" customHeight="1" spans="1:8">
      <c r="A16" s="162"/>
      <c r="B16" s="166" t="s">
        <v>644</v>
      </c>
      <c r="C16" s="61" t="s">
        <v>645</v>
      </c>
      <c r="D16" s="163"/>
      <c r="E16" s="63" t="s">
        <v>646</v>
      </c>
      <c r="F16" s="63" t="s">
        <v>647</v>
      </c>
      <c r="G16" s="164">
        <f t="shared" si="0"/>
        <v>5032</v>
      </c>
      <c r="H16" s="165">
        <v>2960</v>
      </c>
    </row>
    <row r="17" s="2" customFormat="1" ht="20" customHeight="1" spans="1:8">
      <c r="A17" s="162"/>
      <c r="B17" s="166" t="s">
        <v>648</v>
      </c>
      <c r="C17" s="61" t="s">
        <v>645</v>
      </c>
      <c r="D17" s="163"/>
      <c r="E17" s="63" t="s">
        <v>649</v>
      </c>
      <c r="F17" s="63" t="s">
        <v>579</v>
      </c>
      <c r="G17" s="164">
        <f t="shared" si="0"/>
        <v>7418.8</v>
      </c>
      <c r="H17" s="165">
        <v>4364</v>
      </c>
    </row>
    <row r="18" s="2" customFormat="1" ht="21" customHeight="1" spans="1:8">
      <c r="A18" s="162"/>
      <c r="B18" s="166" t="s">
        <v>650</v>
      </c>
      <c r="C18" s="61" t="s">
        <v>651</v>
      </c>
      <c r="D18" s="163"/>
      <c r="E18" s="63" t="s">
        <v>652</v>
      </c>
      <c r="F18" s="63" t="s">
        <v>638</v>
      </c>
      <c r="G18" s="164">
        <f t="shared" si="0"/>
        <v>18241</v>
      </c>
      <c r="H18" s="165">
        <v>10730</v>
      </c>
    </row>
    <row r="19" s="2" customFormat="1" ht="21" customHeight="1" spans="1:8">
      <c r="A19" s="162"/>
      <c r="B19" s="63" t="s">
        <v>653</v>
      </c>
      <c r="C19" s="63" t="s">
        <v>654</v>
      </c>
      <c r="D19" s="163"/>
      <c r="E19" s="63" t="s">
        <v>655</v>
      </c>
      <c r="F19" s="63" t="s">
        <v>638</v>
      </c>
      <c r="G19" s="164">
        <f t="shared" si="0"/>
        <v>9965.4</v>
      </c>
      <c r="H19" s="165">
        <v>5862</v>
      </c>
    </row>
    <row r="20" s="2" customFormat="1" ht="23" customHeight="1" spans="1:8">
      <c r="A20" s="162"/>
      <c r="B20" s="63" t="s">
        <v>656</v>
      </c>
      <c r="C20" s="63" t="s">
        <v>657</v>
      </c>
      <c r="D20" s="163"/>
      <c r="E20" s="63" t="s">
        <v>658</v>
      </c>
      <c r="F20" s="63" t="s">
        <v>659</v>
      </c>
      <c r="G20" s="164">
        <f t="shared" si="0"/>
        <v>9577.8</v>
      </c>
      <c r="H20" s="165">
        <v>5634</v>
      </c>
    </row>
    <row r="21" s="2" customFormat="1" ht="22" customHeight="1" spans="1:8">
      <c r="A21" s="162"/>
      <c r="B21" s="63" t="s">
        <v>660</v>
      </c>
      <c r="C21" s="63" t="s">
        <v>661</v>
      </c>
      <c r="D21" s="163"/>
      <c r="E21" s="63" t="s">
        <v>658</v>
      </c>
      <c r="F21" s="63" t="s">
        <v>659</v>
      </c>
      <c r="G21" s="164">
        <f t="shared" si="0"/>
        <v>8486.4</v>
      </c>
      <c r="H21" s="165">
        <v>4992</v>
      </c>
    </row>
    <row r="22" s="2" customFormat="1" ht="24" customHeight="1" spans="1:8">
      <c r="A22" s="162"/>
      <c r="B22" s="62" t="s">
        <v>662</v>
      </c>
      <c r="C22" s="62" t="s">
        <v>663</v>
      </c>
      <c r="D22" s="163"/>
      <c r="E22" s="101" t="s">
        <v>664</v>
      </c>
      <c r="F22" s="101" t="s">
        <v>610</v>
      </c>
      <c r="G22" s="164">
        <f t="shared" si="0"/>
        <v>14512.9</v>
      </c>
      <c r="H22" s="145">
        <v>8537</v>
      </c>
    </row>
    <row r="23" s="2" customFormat="1" ht="19" customHeight="1" spans="1:8">
      <c r="A23" s="162"/>
      <c r="B23" s="62" t="s">
        <v>665</v>
      </c>
      <c r="C23" s="62" t="s">
        <v>666</v>
      </c>
      <c r="D23" s="163"/>
      <c r="E23" s="101" t="s">
        <v>667</v>
      </c>
      <c r="F23" s="101" t="s">
        <v>647</v>
      </c>
      <c r="G23" s="164">
        <f t="shared" si="0"/>
        <v>9074.6</v>
      </c>
      <c r="H23" s="167">
        <v>5338</v>
      </c>
    </row>
    <row r="24" s="2" customFormat="1" ht="19" customHeight="1" spans="1:8">
      <c r="A24" s="162"/>
      <c r="B24" s="62" t="s">
        <v>668</v>
      </c>
      <c r="C24" s="62" t="s">
        <v>666</v>
      </c>
      <c r="D24" s="163"/>
      <c r="E24" s="101" t="s">
        <v>669</v>
      </c>
      <c r="F24" s="101" t="s">
        <v>610</v>
      </c>
      <c r="G24" s="164">
        <f t="shared" si="0"/>
        <v>8812.8</v>
      </c>
      <c r="H24" s="167">
        <v>5184</v>
      </c>
    </row>
    <row r="25" s="2" customFormat="1" ht="15.75" spans="1:8">
      <c r="A25" s="162"/>
      <c r="B25" s="62" t="s">
        <v>670</v>
      </c>
      <c r="C25" s="62" t="s">
        <v>671</v>
      </c>
      <c r="D25" s="163"/>
      <c r="E25" s="101" t="s">
        <v>672</v>
      </c>
      <c r="F25" s="101" t="s">
        <v>673</v>
      </c>
      <c r="G25" s="164">
        <f t="shared" si="0"/>
        <v>19002.6</v>
      </c>
      <c r="H25" s="167">
        <v>11178</v>
      </c>
    </row>
    <row r="26" s="2" customFormat="1" ht="15.75" spans="1:8">
      <c r="A26" s="162"/>
      <c r="B26" s="61" t="s">
        <v>674</v>
      </c>
      <c r="C26" s="61" t="s">
        <v>675</v>
      </c>
      <c r="D26" s="163"/>
      <c r="E26" s="63" t="s">
        <v>676</v>
      </c>
      <c r="F26" s="101">
        <v>858</v>
      </c>
      <c r="G26" s="164">
        <f t="shared" si="0"/>
        <v>14842.7</v>
      </c>
      <c r="H26" s="167">
        <v>8731</v>
      </c>
    </row>
    <row r="27" s="2" customFormat="1" ht="15.75" spans="1:8">
      <c r="A27" s="162"/>
      <c r="B27" s="62" t="s">
        <v>677</v>
      </c>
      <c r="C27" s="62" t="s">
        <v>678</v>
      </c>
      <c r="D27" s="163"/>
      <c r="E27" s="101" t="s">
        <v>679</v>
      </c>
      <c r="F27" s="101" t="s">
        <v>680</v>
      </c>
      <c r="G27" s="164">
        <f t="shared" si="0"/>
        <v>19997.1</v>
      </c>
      <c r="H27" s="145">
        <v>11763</v>
      </c>
    </row>
    <row r="28" s="2" customFormat="1" ht="15.75" spans="1:8">
      <c r="A28" s="162"/>
      <c r="B28" s="62" t="s">
        <v>681</v>
      </c>
      <c r="C28" s="62" t="s">
        <v>682</v>
      </c>
      <c r="D28" s="163"/>
      <c r="E28" s="101" t="s">
        <v>683</v>
      </c>
      <c r="F28" s="101" t="s">
        <v>610</v>
      </c>
      <c r="G28" s="164">
        <f t="shared" si="0"/>
        <v>2607.8</v>
      </c>
      <c r="H28" s="170">
        <v>1534</v>
      </c>
    </row>
    <row r="29" s="2" customFormat="1" ht="15.75" spans="1:8">
      <c r="A29" s="162"/>
      <c r="B29" s="62" t="s">
        <v>684</v>
      </c>
      <c r="C29" s="62" t="s">
        <v>682</v>
      </c>
      <c r="D29" s="163"/>
      <c r="E29" s="101" t="s">
        <v>685</v>
      </c>
      <c r="F29" s="101" t="s">
        <v>610</v>
      </c>
      <c r="G29" s="164">
        <f t="shared" si="0"/>
        <v>3570</v>
      </c>
      <c r="H29" s="170">
        <v>2100</v>
      </c>
    </row>
    <row r="30" s="2" customFormat="1" ht="15.75" spans="1:8">
      <c r="A30" s="162"/>
      <c r="B30" s="62" t="s">
        <v>686</v>
      </c>
      <c r="C30" s="62" t="s">
        <v>682</v>
      </c>
      <c r="D30" s="163"/>
      <c r="E30" s="101" t="s">
        <v>687</v>
      </c>
      <c r="F30" s="101" t="s">
        <v>610</v>
      </c>
      <c r="G30" s="164">
        <f t="shared" si="0"/>
        <v>4348.6</v>
      </c>
      <c r="H30" s="171">
        <v>2558</v>
      </c>
    </row>
    <row r="31" s="2" customFormat="1" ht="15.75" spans="1:8">
      <c r="A31" s="162"/>
      <c r="B31" s="62" t="s">
        <v>688</v>
      </c>
      <c r="C31" s="62" t="s">
        <v>689</v>
      </c>
      <c r="D31" s="163"/>
      <c r="E31" s="101" t="s">
        <v>690</v>
      </c>
      <c r="F31" s="101" t="s">
        <v>586</v>
      </c>
      <c r="G31" s="164">
        <f t="shared" si="0"/>
        <v>27060.6</v>
      </c>
      <c r="H31" s="167">
        <v>15918</v>
      </c>
    </row>
    <row r="32" s="3" customFormat="1" ht="15.75" spans="1:8">
      <c r="A32" s="162"/>
      <c r="B32" s="172"/>
      <c r="C32" s="173"/>
      <c r="D32" s="174"/>
      <c r="E32" s="173"/>
      <c r="F32" s="172"/>
      <c r="G32" s="175"/>
      <c r="H32" s="175"/>
    </row>
    <row r="33" s="3" customFormat="1" ht="15.75" spans="1:8">
      <c r="A33" s="162"/>
      <c r="B33" s="172"/>
      <c r="C33" s="173"/>
      <c r="D33" s="174"/>
      <c r="E33" s="173"/>
      <c r="F33" s="172"/>
      <c r="G33" s="175"/>
      <c r="H33" s="175"/>
    </row>
    <row r="34" s="3" customFormat="1" ht="28" customHeight="1" spans="1:8">
      <c r="A34" s="162"/>
      <c r="B34" s="176"/>
      <c r="C34" s="176"/>
      <c r="D34" s="174"/>
      <c r="E34" s="176"/>
      <c r="F34" s="176"/>
      <c r="G34" s="175"/>
      <c r="H34" s="175"/>
    </row>
    <row r="35" s="3" customFormat="1" ht="15.75" spans="1:8">
      <c r="A35" s="162"/>
      <c r="B35" s="172"/>
      <c r="C35" s="173"/>
      <c r="D35" s="174"/>
      <c r="E35" s="173"/>
      <c r="F35" s="172"/>
      <c r="G35" s="175"/>
      <c r="H35" s="175"/>
    </row>
    <row r="36" s="3" customFormat="1" ht="15.75" spans="1:8">
      <c r="A36" s="162"/>
      <c r="B36" s="172"/>
      <c r="C36" s="173"/>
      <c r="D36" s="174"/>
      <c r="E36" s="173"/>
      <c r="F36" s="172"/>
      <c r="G36" s="175"/>
      <c r="H36" s="175"/>
    </row>
    <row r="37" s="3" customFormat="1" ht="28" customHeight="1" spans="1:8">
      <c r="A37" s="162"/>
      <c r="B37" s="176"/>
      <c r="C37" s="176"/>
      <c r="D37" s="174"/>
      <c r="E37" s="176"/>
      <c r="F37" s="172"/>
      <c r="G37" s="175"/>
      <c r="H37" s="175"/>
    </row>
    <row r="38" s="3" customFormat="1" ht="15.75" spans="1:8">
      <c r="A38" s="162"/>
      <c r="B38" s="173"/>
      <c r="C38" s="173"/>
      <c r="D38" s="174"/>
      <c r="E38" s="173"/>
      <c r="F38" s="172"/>
      <c r="G38" s="175"/>
      <c r="H38" s="175"/>
    </row>
    <row r="39" s="3" customFormat="1" ht="15.75" spans="1:8">
      <c r="A39" s="162"/>
      <c r="B39" s="172"/>
      <c r="C39" s="173"/>
      <c r="D39" s="174"/>
      <c r="E39" s="173"/>
      <c r="F39" s="172"/>
      <c r="G39" s="175"/>
      <c r="H39" s="175"/>
    </row>
    <row r="40" s="3" customFormat="1" ht="15.75" spans="1:8">
      <c r="A40" s="162"/>
      <c r="B40" s="172"/>
      <c r="C40" s="173"/>
      <c r="D40" s="174"/>
      <c r="E40" s="173"/>
      <c r="F40" s="172"/>
      <c r="G40" s="175"/>
      <c r="H40" s="175"/>
    </row>
    <row r="41" s="3" customFormat="1" spans="1:8">
      <c r="A41" s="162"/>
      <c r="B41" s="162"/>
      <c r="C41" s="162"/>
      <c r="D41" s="177"/>
      <c r="E41" s="162"/>
      <c r="F41" s="162"/>
      <c r="G41" s="178"/>
      <c r="H41" s="178"/>
    </row>
    <row r="42" s="3" customFormat="1" spans="1:8">
      <c r="A42" s="162"/>
      <c r="B42" s="162"/>
      <c r="C42" s="162"/>
      <c r="D42" s="177"/>
      <c r="E42" s="162"/>
      <c r="F42" s="162"/>
      <c r="G42" s="178"/>
      <c r="H42" s="178"/>
    </row>
    <row r="43" s="3" customFormat="1" spans="1:8">
      <c r="A43" s="162"/>
      <c r="B43" s="162"/>
      <c r="C43" s="162"/>
      <c r="D43" s="177"/>
      <c r="E43" s="162"/>
      <c r="F43" s="162"/>
      <c r="G43" s="178"/>
      <c r="H43" s="178"/>
    </row>
    <row r="44" s="2" customFormat="1" spans="1:8">
      <c r="A44" s="162"/>
      <c r="B44" s="162"/>
      <c r="C44" s="162"/>
      <c r="D44" s="179"/>
      <c r="E44" s="162"/>
      <c r="F44" s="162"/>
      <c r="G44" s="178"/>
      <c r="H44" s="178"/>
    </row>
    <row r="45" s="2" customFormat="1" spans="1:8">
      <c r="A45" s="162"/>
      <c r="B45" s="162"/>
      <c r="C45" s="162"/>
      <c r="D45" s="179"/>
      <c r="E45" s="162"/>
      <c r="F45" s="162"/>
      <c r="G45" s="178"/>
      <c r="H45" s="178"/>
    </row>
    <row r="46" s="2" customFormat="1" spans="1:8">
      <c r="A46" s="162"/>
      <c r="B46" s="162"/>
      <c r="C46" s="162"/>
      <c r="D46" s="179"/>
      <c r="E46" s="162"/>
      <c r="F46" s="162"/>
      <c r="G46" s="178"/>
      <c r="H46" s="178"/>
    </row>
    <row r="47" s="2" customFormat="1" spans="1:8">
      <c r="A47" s="162"/>
      <c r="B47" s="162"/>
      <c r="C47" s="162"/>
      <c r="D47" s="179"/>
      <c r="E47" s="162"/>
      <c r="F47" s="162"/>
      <c r="G47" s="178"/>
      <c r="H47" s="178"/>
    </row>
    <row r="48" s="2" customFormat="1" spans="1:8">
      <c r="A48" s="162"/>
      <c r="B48" s="162"/>
      <c r="C48" s="162"/>
      <c r="D48" s="179"/>
      <c r="E48" s="162"/>
      <c r="F48" s="162"/>
      <c r="G48" s="178"/>
      <c r="H48" s="178"/>
    </row>
    <row r="49" s="2" customFormat="1" spans="1:8">
      <c r="A49" s="162"/>
      <c r="B49" s="162"/>
      <c r="C49" s="162"/>
      <c r="D49" s="179"/>
      <c r="E49" s="162"/>
      <c r="F49" s="162"/>
      <c r="G49" s="178"/>
      <c r="H49" s="178"/>
    </row>
    <row r="50" s="2" customFormat="1" spans="1:8">
      <c r="A50" s="162"/>
      <c r="B50" s="162"/>
      <c r="C50" s="162"/>
      <c r="D50" s="179"/>
      <c r="E50" s="162"/>
      <c r="F50" s="162"/>
      <c r="G50" s="178"/>
      <c r="H50" s="178"/>
    </row>
    <row r="51" s="2" customFormat="1" spans="1:8">
      <c r="A51" s="162"/>
      <c r="B51" s="162"/>
      <c r="C51" s="162"/>
      <c r="D51" s="179"/>
      <c r="E51" s="162"/>
      <c r="F51" s="162"/>
      <c r="G51" s="178"/>
      <c r="H51" s="178"/>
    </row>
    <row r="52" s="3" customFormat="1" spans="1:8">
      <c r="A52" s="162"/>
      <c r="B52" s="180"/>
      <c r="C52" s="180"/>
      <c r="D52" s="177"/>
      <c r="E52" s="180"/>
      <c r="F52" s="162"/>
      <c r="G52" s="181"/>
      <c r="H52" s="181"/>
    </row>
    <row r="53" s="3" customFormat="1" spans="1:8">
      <c r="A53" s="162"/>
      <c r="B53" s="180"/>
      <c r="C53" s="180"/>
      <c r="D53" s="177"/>
      <c r="E53" s="180"/>
      <c r="F53" s="162"/>
      <c r="G53" s="181"/>
      <c r="H53" s="181"/>
    </row>
    <row r="54" s="3" customFormat="1" spans="1:8">
      <c r="A54" s="162"/>
      <c r="B54" s="180"/>
      <c r="C54" s="182"/>
      <c r="D54" s="177"/>
      <c r="E54" s="180"/>
      <c r="F54" s="162"/>
      <c r="G54" s="181"/>
      <c r="H54" s="181"/>
    </row>
    <row r="55" s="3" customFormat="1" spans="1:8">
      <c r="A55" s="162"/>
      <c r="B55" s="180"/>
      <c r="C55" s="182"/>
      <c r="D55" s="177"/>
      <c r="E55" s="180"/>
      <c r="F55" s="162"/>
      <c r="G55" s="181"/>
      <c r="H55" s="181"/>
    </row>
    <row r="56" s="3" customFormat="1" spans="1:8">
      <c r="A56" s="162"/>
      <c r="B56" s="180"/>
      <c r="C56" s="180"/>
      <c r="D56" s="177"/>
      <c r="E56" s="180"/>
      <c r="F56" s="162"/>
      <c r="G56" s="181"/>
      <c r="H56" s="181"/>
    </row>
    <row r="57" s="3" customFormat="1" spans="1:8">
      <c r="A57" s="162"/>
      <c r="B57" s="180"/>
      <c r="C57" s="180"/>
      <c r="D57" s="177"/>
      <c r="E57" s="180"/>
      <c r="F57" s="162"/>
      <c r="G57" s="181"/>
      <c r="H57" s="181"/>
    </row>
    <row r="58" s="3" customFormat="1" spans="1:8">
      <c r="A58" s="162"/>
      <c r="B58" s="180"/>
      <c r="C58" s="180"/>
      <c r="D58" s="177"/>
      <c r="E58" s="180"/>
      <c r="F58" s="162"/>
      <c r="G58" s="181"/>
      <c r="H58" s="181"/>
    </row>
    <row r="59" s="3" customFormat="1" spans="1:8">
      <c r="A59" s="162"/>
      <c r="B59" s="180"/>
      <c r="C59" s="180"/>
      <c r="D59" s="177"/>
      <c r="E59" s="180"/>
      <c r="F59" s="162"/>
      <c r="G59" s="181"/>
      <c r="H59" s="181"/>
    </row>
    <row r="60" s="3" customFormat="1" spans="1:8">
      <c r="A60" s="162"/>
      <c r="B60" s="180"/>
      <c r="C60" s="180"/>
      <c r="D60" s="177"/>
      <c r="E60" s="180"/>
      <c r="F60" s="162"/>
      <c r="G60" s="181"/>
      <c r="H60" s="181"/>
    </row>
    <row r="61" s="3" customFormat="1" spans="1:8">
      <c r="A61" s="162"/>
      <c r="B61" s="180"/>
      <c r="C61" s="180"/>
      <c r="D61" s="177"/>
      <c r="E61" s="180"/>
      <c r="F61" s="162"/>
      <c r="G61" s="181"/>
      <c r="H61" s="181"/>
    </row>
    <row r="62" s="3" customFormat="1" spans="1:8">
      <c r="A62" s="162"/>
      <c r="B62" s="180"/>
      <c r="C62" s="180"/>
      <c r="D62" s="177"/>
      <c r="E62" s="180"/>
      <c r="F62" s="162"/>
      <c r="G62" s="183"/>
      <c r="H62" s="183"/>
    </row>
    <row r="63" s="3" customFormat="1" spans="1:8">
      <c r="A63" s="162"/>
      <c r="B63" s="180"/>
      <c r="C63" s="180"/>
      <c r="D63" s="177"/>
      <c r="E63" s="180"/>
      <c r="F63" s="162"/>
      <c r="G63" s="183"/>
      <c r="H63" s="183"/>
    </row>
    <row r="64" s="3" customFormat="1" spans="1:8">
      <c r="A64" s="162"/>
      <c r="B64" s="180"/>
      <c r="C64" s="180"/>
      <c r="D64" s="177"/>
      <c r="E64" s="180"/>
      <c r="F64" s="162"/>
      <c r="G64" s="183"/>
      <c r="H64" s="183"/>
    </row>
    <row r="65" s="3" customFormat="1" spans="1:8">
      <c r="A65" s="162"/>
      <c r="B65" s="180"/>
      <c r="C65" s="180"/>
      <c r="D65" s="177"/>
      <c r="E65" s="180"/>
      <c r="F65" s="162"/>
      <c r="G65" s="181"/>
      <c r="H65" s="181"/>
    </row>
    <row r="66" s="2" customFormat="1" spans="1:8">
      <c r="A66" s="162"/>
      <c r="B66" s="180"/>
      <c r="C66" s="180"/>
      <c r="D66" s="179"/>
      <c r="E66" s="180"/>
      <c r="F66" s="162"/>
      <c r="G66" s="184"/>
      <c r="H66" s="184"/>
    </row>
    <row r="67" s="2" customFormat="1" spans="1:8">
      <c r="A67" s="162"/>
      <c r="B67" s="180"/>
      <c r="C67" s="162"/>
      <c r="D67" s="179"/>
      <c r="E67" s="162"/>
      <c r="F67" s="162"/>
      <c r="G67" s="185"/>
      <c r="H67" s="185"/>
    </row>
    <row r="68" s="2" customFormat="1" spans="1:8">
      <c r="A68" s="162"/>
      <c r="B68" s="180"/>
      <c r="C68" s="162"/>
      <c r="D68" s="179"/>
      <c r="E68" s="162"/>
      <c r="F68" s="162"/>
      <c r="G68" s="185"/>
      <c r="H68" s="185"/>
    </row>
    <row r="69" s="2" customFormat="1" spans="1:8">
      <c r="A69" s="162"/>
      <c r="B69" s="180"/>
      <c r="C69" s="162"/>
      <c r="D69" s="179"/>
      <c r="E69" s="162"/>
      <c r="F69" s="162"/>
      <c r="G69" s="185"/>
      <c r="H69" s="185"/>
    </row>
    <row r="70" s="2" customFormat="1" spans="1:8">
      <c r="A70" s="162"/>
      <c r="B70" s="180"/>
      <c r="C70" s="162"/>
      <c r="D70" s="179"/>
      <c r="E70" s="162"/>
      <c r="F70" s="162"/>
      <c r="G70" s="185"/>
      <c r="H70" s="185"/>
    </row>
    <row r="71" s="2" customFormat="1" spans="1:8">
      <c r="A71" s="162"/>
      <c r="B71" s="180"/>
      <c r="C71" s="162"/>
      <c r="D71" s="179"/>
      <c r="E71" s="162"/>
      <c r="F71" s="162"/>
      <c r="G71" s="185"/>
      <c r="H71" s="185"/>
    </row>
    <row r="72" s="2" customFormat="1" spans="1:8">
      <c r="A72" s="162"/>
      <c r="B72" s="180"/>
      <c r="C72" s="162"/>
      <c r="D72" s="179"/>
      <c r="E72" s="162"/>
      <c r="F72" s="162"/>
      <c r="G72" s="185"/>
      <c r="H72" s="185"/>
    </row>
    <row r="73" s="2" customFormat="1" spans="1:8">
      <c r="A73" s="162"/>
      <c r="B73" s="180"/>
      <c r="C73" s="162"/>
      <c r="D73" s="179"/>
      <c r="E73" s="162"/>
      <c r="F73" s="162"/>
      <c r="G73" s="185"/>
      <c r="H73" s="185"/>
    </row>
    <row r="74" s="2" customFormat="1" spans="1:8">
      <c r="A74" s="162"/>
      <c r="B74" s="180"/>
      <c r="C74" s="162"/>
      <c r="D74" s="179"/>
      <c r="E74" s="162"/>
      <c r="F74" s="162"/>
      <c r="G74" s="185"/>
      <c r="H74" s="185"/>
    </row>
    <row r="75" s="2" customFormat="1" spans="1:8">
      <c r="A75" s="162"/>
      <c r="B75" s="180"/>
      <c r="C75" s="162"/>
      <c r="D75" s="179"/>
      <c r="E75" s="162"/>
      <c r="F75" s="162"/>
      <c r="G75" s="185"/>
      <c r="H75" s="185"/>
    </row>
    <row r="76" s="2" customFormat="1" spans="1:8">
      <c r="A76" s="162"/>
      <c r="B76" s="180"/>
      <c r="C76" s="162"/>
      <c r="D76" s="179"/>
      <c r="E76" s="162"/>
      <c r="F76" s="162"/>
      <c r="G76" s="185"/>
      <c r="H76" s="185"/>
    </row>
    <row r="77" s="2" customFormat="1" spans="1:8">
      <c r="A77" s="162"/>
      <c r="B77" s="180"/>
      <c r="C77" s="162"/>
      <c r="D77" s="179"/>
      <c r="E77" s="162"/>
      <c r="F77" s="162"/>
      <c r="G77" s="185"/>
      <c r="H77" s="185"/>
    </row>
    <row r="78" s="2" customFormat="1" spans="1:8">
      <c r="A78" s="162"/>
      <c r="B78" s="162"/>
      <c r="C78" s="162"/>
      <c r="D78" s="179"/>
      <c r="E78" s="162"/>
      <c r="F78" s="162"/>
      <c r="G78" s="185"/>
      <c r="H78" s="185"/>
    </row>
    <row r="79" s="2" customFormat="1" spans="1:8">
      <c r="A79" s="162"/>
      <c r="B79" s="162"/>
      <c r="C79" s="162"/>
      <c r="D79" s="179"/>
      <c r="E79" s="162"/>
      <c r="F79" s="162"/>
      <c r="G79" s="185"/>
      <c r="H79" s="185"/>
    </row>
    <row r="80" s="2" customFormat="1" spans="1:8">
      <c r="A80" s="162"/>
      <c r="B80" s="162"/>
      <c r="C80" s="162"/>
      <c r="D80" s="179"/>
      <c r="E80" s="162"/>
      <c r="F80" s="162"/>
      <c r="G80" s="185"/>
      <c r="H80" s="185"/>
    </row>
    <row r="81" s="4" customFormat="1" spans="1:8">
      <c r="A81" s="162"/>
      <c r="B81" s="162"/>
      <c r="C81" s="162"/>
      <c r="D81" s="177"/>
      <c r="E81" s="162"/>
      <c r="F81" s="162"/>
      <c r="G81" s="185"/>
      <c r="H81" s="185"/>
    </row>
    <row r="82" s="4" customFormat="1" spans="1:8">
      <c r="A82" s="162"/>
      <c r="B82" s="162"/>
      <c r="C82" s="162"/>
      <c r="D82" s="177"/>
      <c r="E82" s="162"/>
      <c r="F82" s="162"/>
      <c r="G82" s="185"/>
      <c r="H82" s="185"/>
    </row>
    <row r="83" s="2" customFormat="1" spans="1:8">
      <c r="A83" s="162"/>
      <c r="B83" s="162"/>
      <c r="C83" s="162"/>
      <c r="D83" s="179"/>
      <c r="E83" s="162"/>
      <c r="F83" s="162"/>
      <c r="G83" s="185"/>
      <c r="H83" s="185"/>
    </row>
    <row r="84" s="2" customFormat="1" spans="1:8">
      <c r="A84" s="162"/>
      <c r="B84" s="162"/>
      <c r="C84" s="162"/>
      <c r="D84" s="179"/>
      <c r="E84" s="162"/>
      <c r="F84" s="162"/>
      <c r="G84" s="185"/>
      <c r="H84" s="185"/>
    </row>
    <row r="85" s="4" customFormat="1" spans="1:8">
      <c r="A85" s="162"/>
      <c r="B85" s="162"/>
      <c r="C85" s="162"/>
      <c r="D85" s="177"/>
      <c r="E85" s="162"/>
      <c r="F85" s="162"/>
      <c r="G85" s="185"/>
      <c r="H85" s="185"/>
    </row>
    <row r="86" s="4" customFormat="1" spans="1:8">
      <c r="A86" s="162"/>
      <c r="B86" s="162"/>
      <c r="C86" s="162"/>
      <c r="D86" s="177"/>
      <c r="E86" s="162"/>
      <c r="F86" s="162"/>
      <c r="G86" s="185"/>
      <c r="H86" s="185"/>
    </row>
    <row r="87" s="4" customFormat="1" spans="1:8">
      <c r="A87" s="162"/>
      <c r="B87" s="162"/>
      <c r="C87" s="162"/>
      <c r="D87" s="177"/>
      <c r="E87" s="162"/>
      <c r="F87" s="162"/>
      <c r="G87" s="185"/>
      <c r="H87" s="185"/>
    </row>
    <row r="88" s="2" customFormat="1" spans="1:8">
      <c r="A88" s="162"/>
      <c r="B88" s="162"/>
      <c r="C88" s="162"/>
      <c r="D88" s="179"/>
      <c r="E88" s="162"/>
      <c r="F88" s="162"/>
      <c r="G88" s="185"/>
      <c r="H88" s="185"/>
    </row>
    <row r="89" s="2" customFormat="1" spans="1:8">
      <c r="A89" s="162"/>
      <c r="B89" s="162"/>
      <c r="C89" s="162"/>
      <c r="D89" s="179"/>
      <c r="E89" s="162"/>
      <c r="F89" s="162"/>
      <c r="G89" s="185"/>
      <c r="H89" s="185"/>
    </row>
    <row r="90" s="2" customFormat="1" spans="1:8">
      <c r="A90" s="162"/>
      <c r="B90" s="162"/>
      <c r="C90" s="162"/>
      <c r="D90" s="179"/>
      <c r="E90" s="162"/>
      <c r="F90" s="162"/>
      <c r="G90" s="185"/>
      <c r="H90" s="185"/>
    </row>
    <row r="91" s="2" customFormat="1" spans="1:8">
      <c r="A91" s="162"/>
      <c r="B91" s="162"/>
      <c r="C91" s="162"/>
      <c r="D91" s="179"/>
      <c r="E91" s="162"/>
      <c r="F91" s="162"/>
      <c r="G91" s="185"/>
      <c r="H91" s="185"/>
    </row>
    <row r="92" s="2" customFormat="1" spans="1:8">
      <c r="A92" s="162"/>
      <c r="B92" s="162"/>
      <c r="C92" s="162"/>
      <c r="D92" s="179"/>
      <c r="E92" s="162"/>
      <c r="F92" s="162"/>
      <c r="G92" s="185"/>
      <c r="H92" s="185"/>
    </row>
    <row r="93" s="2" customFormat="1" spans="1:8">
      <c r="A93" s="162"/>
      <c r="B93" s="162"/>
      <c r="C93" s="162"/>
      <c r="D93" s="179"/>
      <c r="E93" s="162"/>
      <c r="F93" s="162"/>
      <c r="G93" s="185"/>
      <c r="H93" s="185"/>
    </row>
    <row r="94" s="2" customFormat="1" spans="1:8">
      <c r="A94" s="162"/>
      <c r="B94" s="162"/>
      <c r="C94" s="162"/>
      <c r="D94" s="179"/>
      <c r="E94" s="162"/>
      <c r="F94" s="162"/>
      <c r="G94" s="185"/>
      <c r="H94" s="185"/>
    </row>
    <row r="95" s="2" customFormat="1" spans="1:8">
      <c r="A95" s="162"/>
      <c r="B95" s="162"/>
      <c r="C95" s="162"/>
      <c r="D95" s="179"/>
      <c r="E95" s="162"/>
      <c r="F95" s="162"/>
      <c r="G95" s="185"/>
      <c r="H95" s="185"/>
    </row>
    <row r="96" s="2" customFormat="1" spans="1:8">
      <c r="A96" s="162"/>
      <c r="B96" s="162"/>
      <c r="C96" s="162"/>
      <c r="D96" s="179"/>
      <c r="E96" s="162"/>
      <c r="F96" s="162"/>
      <c r="G96" s="185"/>
      <c r="H96" s="185"/>
    </row>
    <row r="97" s="2" customFormat="1" spans="1:8">
      <c r="A97" s="162"/>
      <c r="B97" s="162"/>
      <c r="C97" s="162"/>
      <c r="D97" s="179"/>
      <c r="E97" s="162"/>
      <c r="F97" s="162"/>
      <c r="G97" s="185"/>
      <c r="H97" s="185"/>
    </row>
    <row r="98" s="2" customFormat="1" spans="1:8">
      <c r="A98" s="162"/>
      <c r="B98" s="162"/>
      <c r="C98" s="162"/>
      <c r="D98" s="179"/>
      <c r="E98" s="162"/>
      <c r="F98" s="162"/>
      <c r="G98" s="185"/>
      <c r="H98" s="185"/>
    </row>
    <row r="99" s="2" customFormat="1" spans="1:8">
      <c r="A99" s="162"/>
      <c r="B99" s="162"/>
      <c r="C99" s="162"/>
      <c r="D99" s="179"/>
      <c r="E99" s="162"/>
      <c r="F99" s="162"/>
      <c r="G99" s="185"/>
      <c r="H99" s="185"/>
    </row>
    <row r="100" s="2" customFormat="1" spans="1:8">
      <c r="A100" s="162"/>
      <c r="B100" s="162"/>
      <c r="C100" s="162"/>
      <c r="D100" s="179"/>
      <c r="E100" s="162"/>
      <c r="F100" s="162"/>
      <c r="G100" s="185"/>
      <c r="H100" s="185"/>
    </row>
    <row r="101" s="2" customFormat="1" spans="1:8">
      <c r="A101" s="162"/>
      <c r="B101" s="162"/>
      <c r="C101" s="162"/>
      <c r="D101" s="179"/>
      <c r="E101" s="162"/>
      <c r="F101" s="162"/>
      <c r="G101" s="185"/>
      <c r="H101" s="185"/>
    </row>
    <row r="102" s="2" customFormat="1" spans="1:8">
      <c r="A102" s="162"/>
      <c r="B102" s="162"/>
      <c r="C102" s="162"/>
      <c r="D102" s="179"/>
      <c r="E102" s="162"/>
      <c r="F102" s="162"/>
      <c r="G102" s="186"/>
      <c r="H102" s="185"/>
    </row>
    <row r="103" s="2" customFormat="1" spans="1:8">
      <c r="A103" s="162"/>
      <c r="B103" s="162"/>
      <c r="C103" s="162"/>
      <c r="D103" s="179"/>
      <c r="E103" s="162"/>
      <c r="F103" s="162"/>
      <c r="G103" s="185"/>
      <c r="H103" s="185"/>
    </row>
    <row r="104" s="2" customFormat="1" spans="1:8">
      <c r="A104" s="162"/>
      <c r="B104" s="162"/>
      <c r="C104" s="162"/>
      <c r="D104" s="179"/>
      <c r="E104" s="162"/>
      <c r="F104" s="162"/>
      <c r="G104" s="185"/>
      <c r="H104" s="185"/>
    </row>
    <row r="105" s="2" customFormat="1" spans="1:8">
      <c r="A105" s="162"/>
      <c r="B105" s="162"/>
      <c r="C105" s="162"/>
      <c r="D105" s="179"/>
      <c r="E105" s="162"/>
      <c r="F105" s="162"/>
      <c r="G105" s="186"/>
      <c r="H105" s="185"/>
    </row>
    <row r="106" s="2" customFormat="1" spans="1:8">
      <c r="A106" s="162"/>
      <c r="B106" s="162"/>
      <c r="C106" s="162"/>
      <c r="D106" s="179"/>
      <c r="E106" s="162"/>
      <c r="F106" s="162"/>
      <c r="G106" s="185"/>
      <c r="H106" s="185"/>
    </row>
    <row r="107" s="2" customFormat="1" spans="1:8">
      <c r="A107" s="162"/>
      <c r="B107" s="162"/>
      <c r="C107" s="162"/>
      <c r="D107" s="179"/>
      <c r="E107" s="162"/>
      <c r="F107" s="162"/>
      <c r="G107" s="185"/>
      <c r="H107" s="185"/>
    </row>
    <row r="108" s="2" customFormat="1" spans="1:8">
      <c r="A108" s="162"/>
      <c r="B108" s="162"/>
      <c r="C108" s="162"/>
      <c r="D108" s="179"/>
      <c r="E108" s="162"/>
      <c r="F108" s="162"/>
      <c r="G108" s="185"/>
      <c r="H108" s="185"/>
    </row>
    <row r="109" s="2" customFormat="1" spans="1:8">
      <c r="A109" s="162"/>
      <c r="B109" s="162"/>
      <c r="C109" s="162"/>
      <c r="D109" s="179"/>
      <c r="E109" s="162"/>
      <c r="F109" s="162"/>
      <c r="G109" s="185"/>
      <c r="H109" s="185"/>
    </row>
    <row r="110" s="2" customFormat="1" ht="15.75" spans="1:8">
      <c r="A110" s="162"/>
      <c r="B110" s="187"/>
      <c r="C110" s="188"/>
      <c r="D110" s="179"/>
      <c r="E110" s="187"/>
      <c r="F110" s="189"/>
      <c r="G110" s="190"/>
      <c r="H110" s="190"/>
    </row>
    <row r="111" s="2" customFormat="1" ht="15" spans="1:8">
      <c r="A111" s="162"/>
      <c r="B111" s="162"/>
      <c r="C111" s="162"/>
      <c r="D111" s="179"/>
      <c r="E111" s="162"/>
      <c r="F111" s="162"/>
      <c r="G111" s="191"/>
      <c r="H111" s="191"/>
    </row>
    <row r="112" s="2" customFormat="1" ht="15" spans="1:8">
      <c r="A112" s="162"/>
      <c r="B112" s="162"/>
      <c r="C112" s="162"/>
      <c r="D112" s="179"/>
      <c r="E112" s="162"/>
      <c r="F112" s="162"/>
      <c r="G112" s="185"/>
      <c r="H112" s="192"/>
    </row>
    <row r="113" s="2" customFormat="1" ht="15" spans="1:8">
      <c r="A113" s="162"/>
      <c r="B113" s="162"/>
      <c r="C113" s="162"/>
      <c r="D113" s="179"/>
      <c r="E113" s="162"/>
      <c r="F113" s="162"/>
      <c r="G113" s="193"/>
      <c r="H113" s="193"/>
    </row>
    <row r="114" s="2" customFormat="1" ht="15" spans="1:8">
      <c r="A114" s="162"/>
      <c r="B114" s="162"/>
      <c r="C114" s="162"/>
      <c r="D114" s="179"/>
      <c r="E114" s="162"/>
      <c r="F114" s="162"/>
      <c r="G114" s="193"/>
      <c r="H114" s="193"/>
    </row>
    <row r="115" s="2" customFormat="1" ht="15" spans="1:8">
      <c r="A115" s="162"/>
      <c r="B115" s="162"/>
      <c r="C115" s="162"/>
      <c r="D115" s="179"/>
      <c r="E115" s="162"/>
      <c r="F115" s="162"/>
      <c r="G115" s="193"/>
      <c r="H115" s="193"/>
    </row>
    <row r="116" s="2" customFormat="1" ht="15" spans="1:8">
      <c r="A116" s="162"/>
      <c r="B116" s="162"/>
      <c r="C116" s="189"/>
      <c r="D116" s="179"/>
      <c r="E116" s="180"/>
      <c r="F116" s="189"/>
      <c r="G116" s="193"/>
      <c r="H116" s="193"/>
    </row>
    <row r="117" s="2" customFormat="1" ht="15" spans="1:8">
      <c r="A117" s="162"/>
      <c r="B117" s="162"/>
      <c r="C117" s="162"/>
      <c r="D117" s="179"/>
      <c r="E117" s="162"/>
      <c r="F117" s="162"/>
      <c r="G117" s="193"/>
      <c r="H117" s="193"/>
    </row>
    <row r="118" s="2" customFormat="1" ht="15" spans="1:8">
      <c r="A118" s="162"/>
      <c r="B118" s="194"/>
      <c r="C118" s="194"/>
      <c r="D118" s="179"/>
      <c r="E118" s="194"/>
      <c r="F118" s="194"/>
      <c r="G118" s="192"/>
      <c r="H118" s="192"/>
    </row>
    <row r="119" s="2" customFormat="1" ht="15" spans="1:8">
      <c r="A119" s="162"/>
      <c r="B119" s="194"/>
      <c r="C119" s="194"/>
      <c r="D119" s="179"/>
      <c r="E119" s="194"/>
      <c r="F119" s="194"/>
      <c r="G119" s="192"/>
      <c r="H119" s="192"/>
    </row>
    <row r="120" s="2" customFormat="1" ht="15" spans="1:8">
      <c r="A120" s="162"/>
      <c r="B120" s="194"/>
      <c r="C120" s="194"/>
      <c r="D120" s="179"/>
      <c r="E120" s="194"/>
      <c r="F120" s="194"/>
      <c r="G120" s="192"/>
      <c r="H120" s="192"/>
    </row>
    <row r="121" s="2" customFormat="1" ht="15" spans="1:8">
      <c r="A121" s="162"/>
      <c r="B121" s="162"/>
      <c r="C121" s="162"/>
      <c r="D121" s="179"/>
      <c r="E121" s="162"/>
      <c r="F121" s="30"/>
      <c r="G121" s="192"/>
      <c r="H121" s="162"/>
    </row>
  </sheetData>
  <mergeCells count="1">
    <mergeCell ref="A1:I1"/>
  </mergeCells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R40"/>
  <sheetViews>
    <sheetView workbookViewId="0">
      <selection activeCell="C20" sqref="C20"/>
    </sheetView>
  </sheetViews>
  <sheetFormatPr defaultColWidth="8.88571428571429" defaultRowHeight="15.75"/>
  <cols>
    <col min="1" max="1" width="6.21904761904762" style="74" customWidth="1"/>
    <col min="2" max="2" width="10.5809523809524" style="74" customWidth="1"/>
    <col min="3" max="3" width="28.9047619047619" style="75" customWidth="1"/>
    <col min="4" max="4" width="37.7142857142857" style="130" customWidth="1"/>
    <col min="5" max="5" width="31" style="76" customWidth="1"/>
    <col min="6" max="6" width="25.7142857142857" style="76" customWidth="1"/>
    <col min="7" max="7" width="14.1428571428571" style="74" customWidth="1"/>
    <col min="8" max="8" width="14.1428571428571" style="77" customWidth="1"/>
    <col min="9" max="16379" width="8.88571428571429" style="4"/>
  </cols>
  <sheetData>
    <row r="1" s="73" customFormat="1" ht="30.75" spans="1:252">
      <c r="A1" s="78" t="s">
        <v>691</v>
      </c>
      <c r="B1" s="79"/>
      <c r="C1" s="80"/>
      <c r="D1" s="81"/>
      <c r="E1" s="82"/>
      <c r="F1" s="80"/>
      <c r="G1" s="81"/>
      <c r="H1" s="82"/>
      <c r="I1" s="156"/>
      <c r="J1" s="157"/>
      <c r="K1" s="126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  <c r="BW1" s="127"/>
      <c r="BX1" s="127"/>
      <c r="BY1" s="127"/>
      <c r="BZ1" s="127"/>
      <c r="CA1" s="127"/>
      <c r="CB1" s="127"/>
      <c r="CC1" s="127"/>
      <c r="CD1" s="127"/>
      <c r="CE1" s="127"/>
      <c r="CF1" s="127"/>
      <c r="CG1" s="127"/>
      <c r="CH1" s="127"/>
      <c r="CI1" s="127"/>
      <c r="CJ1" s="127"/>
      <c r="CK1" s="127"/>
      <c r="CL1" s="127"/>
      <c r="CM1" s="127"/>
      <c r="CN1" s="127"/>
      <c r="CO1" s="127"/>
      <c r="CP1" s="127"/>
      <c r="CQ1" s="127"/>
      <c r="CR1" s="127"/>
      <c r="CS1" s="127"/>
      <c r="CT1" s="127"/>
      <c r="CU1" s="127"/>
      <c r="CV1" s="127"/>
      <c r="CW1" s="127"/>
      <c r="CX1" s="127"/>
      <c r="CY1" s="127"/>
      <c r="CZ1" s="127"/>
      <c r="DA1" s="127"/>
      <c r="DB1" s="127"/>
      <c r="DC1" s="127"/>
      <c r="DD1" s="127"/>
      <c r="DE1" s="127"/>
      <c r="DF1" s="127"/>
      <c r="DG1" s="127"/>
      <c r="DH1" s="127"/>
      <c r="DI1" s="127"/>
      <c r="DJ1" s="127"/>
      <c r="DK1" s="127"/>
      <c r="DL1" s="127"/>
      <c r="DM1" s="127"/>
      <c r="DN1" s="127"/>
      <c r="DO1" s="127"/>
      <c r="DP1" s="127"/>
      <c r="DQ1" s="127"/>
      <c r="DR1" s="127"/>
      <c r="DS1" s="127"/>
      <c r="DT1" s="127"/>
      <c r="DU1" s="127"/>
      <c r="DV1" s="127"/>
      <c r="DW1" s="127"/>
      <c r="DX1" s="127"/>
      <c r="DY1" s="127"/>
      <c r="DZ1" s="127"/>
      <c r="EA1" s="127"/>
      <c r="EB1" s="127"/>
      <c r="EC1" s="127"/>
      <c r="ED1" s="127"/>
      <c r="EE1" s="127"/>
      <c r="EF1" s="127"/>
      <c r="EG1" s="127"/>
      <c r="EH1" s="127"/>
      <c r="EI1" s="127"/>
      <c r="EJ1" s="127"/>
      <c r="EK1" s="127"/>
      <c r="EL1" s="127"/>
      <c r="EM1" s="127"/>
      <c r="EN1" s="127"/>
      <c r="EO1" s="127"/>
      <c r="EP1" s="127"/>
      <c r="EQ1" s="127"/>
      <c r="ER1" s="127"/>
      <c r="ES1" s="127"/>
      <c r="ET1" s="127"/>
      <c r="EU1" s="127"/>
      <c r="EV1" s="127"/>
      <c r="EW1" s="127"/>
      <c r="EX1" s="127"/>
      <c r="EY1" s="127"/>
      <c r="EZ1" s="127"/>
      <c r="FA1" s="127"/>
      <c r="FB1" s="127"/>
      <c r="FC1" s="127"/>
      <c r="FD1" s="127"/>
      <c r="FE1" s="127"/>
      <c r="FF1" s="127"/>
      <c r="FG1" s="127"/>
      <c r="FH1" s="127"/>
      <c r="FI1" s="127"/>
      <c r="FJ1" s="127"/>
      <c r="FK1" s="127"/>
      <c r="FL1" s="127"/>
      <c r="FM1" s="127"/>
      <c r="FN1" s="127"/>
      <c r="FO1" s="127"/>
      <c r="FP1" s="127"/>
      <c r="FQ1" s="127"/>
      <c r="FR1" s="127"/>
      <c r="FS1" s="127"/>
      <c r="FT1" s="127"/>
      <c r="FU1" s="127"/>
      <c r="FV1" s="127"/>
      <c r="FW1" s="127"/>
      <c r="FX1" s="127"/>
      <c r="FY1" s="127"/>
      <c r="FZ1" s="127"/>
      <c r="GA1" s="127"/>
      <c r="GB1" s="127"/>
      <c r="GC1" s="127"/>
      <c r="GD1" s="127"/>
      <c r="GE1" s="127"/>
      <c r="GF1" s="127"/>
      <c r="GG1" s="127"/>
      <c r="GH1" s="127"/>
      <c r="GI1" s="127"/>
      <c r="GJ1" s="127"/>
      <c r="GK1" s="127"/>
      <c r="GL1" s="127"/>
      <c r="GM1" s="127"/>
      <c r="GN1" s="127"/>
      <c r="GO1" s="127"/>
      <c r="GP1" s="127"/>
      <c r="GQ1" s="127"/>
      <c r="GR1" s="127"/>
      <c r="GS1" s="127"/>
      <c r="GT1" s="127"/>
      <c r="GU1" s="127"/>
      <c r="GV1" s="127"/>
      <c r="GW1" s="127"/>
      <c r="GX1" s="127"/>
      <c r="GY1" s="127"/>
      <c r="GZ1" s="127"/>
      <c r="HA1" s="127"/>
      <c r="HB1" s="127"/>
      <c r="HC1" s="127"/>
      <c r="HD1" s="127"/>
      <c r="HE1" s="127"/>
      <c r="HF1" s="127"/>
      <c r="HG1" s="127"/>
      <c r="HH1" s="127"/>
      <c r="HI1" s="127"/>
      <c r="HJ1" s="127"/>
      <c r="HK1" s="127"/>
      <c r="HL1" s="127"/>
      <c r="HM1" s="127"/>
      <c r="HN1" s="127"/>
      <c r="HO1" s="127"/>
      <c r="HP1" s="127"/>
      <c r="HQ1" s="127"/>
      <c r="HR1" s="127"/>
      <c r="HS1" s="127"/>
      <c r="HT1" s="127"/>
      <c r="HU1" s="127"/>
      <c r="HV1" s="127"/>
      <c r="HW1" s="127"/>
      <c r="HX1" s="127"/>
      <c r="HY1" s="127"/>
      <c r="HZ1" s="127"/>
      <c r="IA1" s="127"/>
      <c r="IB1" s="127"/>
      <c r="IC1" s="127"/>
      <c r="ID1" s="127"/>
      <c r="IE1" s="127"/>
      <c r="IF1" s="127"/>
      <c r="IG1" s="127"/>
      <c r="IH1" s="127"/>
      <c r="II1" s="127"/>
      <c r="IJ1" s="127"/>
      <c r="IK1" s="127"/>
      <c r="IL1" s="127"/>
      <c r="IM1" s="127"/>
      <c r="IN1" s="127"/>
      <c r="IO1" s="127"/>
      <c r="IP1" s="127"/>
      <c r="IQ1" s="127"/>
      <c r="IR1" s="127"/>
    </row>
    <row r="2" s="73" customFormat="1" ht="16.5" spans="1:252">
      <c r="A2" s="131"/>
      <c r="B2" s="132"/>
      <c r="C2" s="133"/>
      <c r="D2" s="134"/>
      <c r="E2" s="88"/>
      <c r="F2" s="133"/>
      <c r="G2" s="135"/>
      <c r="H2" s="88"/>
      <c r="I2" s="158"/>
      <c r="J2" s="126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7"/>
      <c r="BV2" s="127"/>
      <c r="BW2" s="127"/>
      <c r="BX2" s="127"/>
      <c r="BY2" s="127"/>
      <c r="BZ2" s="127"/>
      <c r="CA2" s="127"/>
      <c r="CB2" s="127"/>
      <c r="CC2" s="127"/>
      <c r="CD2" s="127"/>
      <c r="CE2" s="127"/>
      <c r="CF2" s="127"/>
      <c r="CG2" s="127"/>
      <c r="CH2" s="127"/>
      <c r="CI2" s="127"/>
      <c r="CJ2" s="127"/>
      <c r="CK2" s="127"/>
      <c r="CL2" s="127"/>
      <c r="CM2" s="127"/>
      <c r="CN2" s="127"/>
      <c r="CO2" s="127"/>
      <c r="CP2" s="127"/>
      <c r="CQ2" s="127"/>
      <c r="CR2" s="127"/>
      <c r="CS2" s="127"/>
      <c r="CT2" s="127"/>
      <c r="CU2" s="127"/>
      <c r="CV2" s="127"/>
      <c r="CW2" s="127"/>
      <c r="CX2" s="127"/>
      <c r="CY2" s="127"/>
      <c r="CZ2" s="127"/>
      <c r="DA2" s="127"/>
      <c r="DB2" s="127"/>
      <c r="DC2" s="127"/>
      <c r="DD2" s="127"/>
      <c r="DE2" s="127"/>
      <c r="DF2" s="127"/>
      <c r="DG2" s="127"/>
      <c r="DH2" s="127"/>
      <c r="DI2" s="127"/>
      <c r="DJ2" s="127"/>
      <c r="DK2" s="127"/>
      <c r="DL2" s="127"/>
      <c r="DM2" s="127"/>
      <c r="DN2" s="127"/>
      <c r="DO2" s="127"/>
      <c r="DP2" s="127"/>
      <c r="DQ2" s="127"/>
      <c r="DR2" s="127"/>
      <c r="DS2" s="127"/>
      <c r="DT2" s="127"/>
      <c r="DU2" s="127"/>
      <c r="DV2" s="127"/>
      <c r="DW2" s="127"/>
      <c r="DX2" s="127"/>
      <c r="DY2" s="127"/>
      <c r="DZ2" s="127"/>
      <c r="EA2" s="127"/>
      <c r="EB2" s="127"/>
      <c r="EC2" s="127"/>
      <c r="ED2" s="127"/>
      <c r="EE2" s="127"/>
      <c r="EF2" s="127"/>
      <c r="EG2" s="127"/>
      <c r="EH2" s="127"/>
      <c r="EI2" s="127"/>
      <c r="EJ2" s="127"/>
      <c r="EK2" s="127"/>
      <c r="EL2" s="127"/>
      <c r="EM2" s="127"/>
      <c r="EN2" s="127"/>
      <c r="EO2" s="127"/>
      <c r="EP2" s="127"/>
      <c r="EQ2" s="127"/>
      <c r="ER2" s="127"/>
      <c r="ES2" s="127"/>
      <c r="ET2" s="127"/>
      <c r="EU2" s="127"/>
      <c r="EV2" s="127"/>
      <c r="EW2" s="127"/>
      <c r="EX2" s="127"/>
      <c r="EY2" s="127"/>
      <c r="EZ2" s="127"/>
      <c r="FA2" s="127"/>
      <c r="FB2" s="127"/>
      <c r="FC2" s="127"/>
      <c r="FD2" s="127"/>
      <c r="FE2" s="127"/>
      <c r="FF2" s="127"/>
      <c r="FG2" s="127"/>
      <c r="FH2" s="127"/>
      <c r="FI2" s="127"/>
      <c r="FJ2" s="127"/>
      <c r="FK2" s="127"/>
      <c r="FL2" s="127"/>
      <c r="FM2" s="127"/>
      <c r="FN2" s="127"/>
      <c r="FO2" s="127"/>
      <c r="FP2" s="127"/>
      <c r="FQ2" s="127"/>
      <c r="FR2" s="127"/>
      <c r="FS2" s="127"/>
      <c r="FT2" s="127"/>
      <c r="FU2" s="127"/>
      <c r="FV2" s="127"/>
      <c r="FW2" s="127"/>
      <c r="FX2" s="127"/>
      <c r="FY2" s="127"/>
      <c r="FZ2" s="127"/>
      <c r="GA2" s="127"/>
      <c r="GB2" s="127"/>
      <c r="GC2" s="127"/>
      <c r="GD2" s="127"/>
      <c r="GE2" s="127"/>
      <c r="GF2" s="127"/>
      <c r="GG2" s="127"/>
      <c r="GH2" s="127"/>
      <c r="GI2" s="127"/>
      <c r="GJ2" s="127"/>
      <c r="GK2" s="127"/>
      <c r="GL2" s="127"/>
      <c r="GM2" s="127"/>
      <c r="GN2" s="127"/>
      <c r="GO2" s="127"/>
      <c r="GP2" s="127"/>
      <c r="GQ2" s="127"/>
      <c r="GR2" s="127"/>
      <c r="GS2" s="127"/>
      <c r="GT2" s="127"/>
      <c r="GU2" s="127"/>
      <c r="GV2" s="127"/>
      <c r="GW2" s="127"/>
      <c r="GX2" s="127"/>
      <c r="GY2" s="127"/>
      <c r="GZ2" s="127"/>
      <c r="HA2" s="127"/>
      <c r="HB2" s="127"/>
      <c r="HC2" s="127"/>
      <c r="HD2" s="127"/>
      <c r="HE2" s="127"/>
      <c r="HF2" s="127"/>
      <c r="HG2" s="127"/>
      <c r="HH2" s="127"/>
      <c r="HI2" s="127"/>
      <c r="HJ2" s="127"/>
      <c r="HK2" s="127"/>
      <c r="HL2" s="127"/>
      <c r="HM2" s="127"/>
      <c r="HN2" s="127"/>
      <c r="HO2" s="127"/>
      <c r="HP2" s="127"/>
      <c r="HQ2" s="127"/>
      <c r="HR2" s="127"/>
      <c r="HS2" s="127"/>
      <c r="HT2" s="127"/>
      <c r="HU2" s="127"/>
      <c r="HV2" s="127"/>
      <c r="HW2" s="127"/>
      <c r="HX2" s="127"/>
      <c r="HY2" s="127"/>
      <c r="HZ2" s="127"/>
      <c r="IA2" s="127"/>
      <c r="IB2" s="127"/>
      <c r="IC2" s="127"/>
      <c r="ID2" s="127"/>
      <c r="IE2" s="127"/>
      <c r="IF2" s="127"/>
      <c r="IG2" s="127"/>
      <c r="IH2" s="127"/>
      <c r="II2" s="127"/>
      <c r="IJ2" s="127"/>
      <c r="IK2" s="127"/>
      <c r="IL2" s="127"/>
      <c r="IM2" s="127"/>
      <c r="IN2" s="127"/>
      <c r="IO2" s="127"/>
      <c r="IP2" s="127"/>
      <c r="IQ2" s="127"/>
      <c r="IR2" s="127"/>
    </row>
    <row r="3" s="73" customFormat="1" ht="28.5" spans="1:249">
      <c r="A3" s="89" t="s">
        <v>1</v>
      </c>
      <c r="B3" s="136" t="s">
        <v>572</v>
      </c>
      <c r="C3" s="89" t="s">
        <v>3</v>
      </c>
      <c r="D3" s="136" t="s">
        <v>4</v>
      </c>
      <c r="E3" s="91" t="s">
        <v>573</v>
      </c>
      <c r="F3" s="92" t="s">
        <v>6</v>
      </c>
      <c r="G3" s="137" t="s">
        <v>692</v>
      </c>
      <c r="H3" s="91" t="s">
        <v>693</v>
      </c>
      <c r="I3" s="159" t="s">
        <v>9</v>
      </c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7"/>
      <c r="BF3" s="127"/>
      <c r="BG3" s="127"/>
      <c r="BH3" s="127"/>
      <c r="BI3" s="127"/>
      <c r="BJ3" s="127"/>
      <c r="BK3" s="127"/>
      <c r="BL3" s="127"/>
      <c r="BM3" s="127"/>
      <c r="BN3" s="127"/>
      <c r="BO3" s="127"/>
      <c r="BP3" s="127"/>
      <c r="BQ3" s="127"/>
      <c r="BR3" s="127"/>
      <c r="BS3" s="127"/>
      <c r="BT3" s="127"/>
      <c r="BU3" s="127"/>
      <c r="BV3" s="127"/>
      <c r="BW3" s="127"/>
      <c r="BX3" s="127"/>
      <c r="BY3" s="127"/>
      <c r="BZ3" s="127"/>
      <c r="CA3" s="127"/>
      <c r="CB3" s="127"/>
      <c r="CC3" s="127"/>
      <c r="CD3" s="127"/>
      <c r="CE3" s="127"/>
      <c r="CF3" s="127"/>
      <c r="CG3" s="127"/>
      <c r="CH3" s="127"/>
      <c r="CI3" s="127"/>
      <c r="CJ3" s="127"/>
      <c r="CK3" s="127"/>
      <c r="CL3" s="127"/>
      <c r="CM3" s="127"/>
      <c r="CN3" s="127"/>
      <c r="CO3" s="127"/>
      <c r="CP3" s="127"/>
      <c r="CQ3" s="127"/>
      <c r="CR3" s="127"/>
      <c r="CS3" s="127"/>
      <c r="CT3" s="127"/>
      <c r="CU3" s="127"/>
      <c r="CV3" s="127"/>
      <c r="CW3" s="127"/>
      <c r="CX3" s="127"/>
      <c r="CY3" s="127"/>
      <c r="CZ3" s="127"/>
      <c r="DA3" s="127"/>
      <c r="DB3" s="127"/>
      <c r="DC3" s="127"/>
      <c r="DD3" s="127"/>
      <c r="DE3" s="127"/>
      <c r="DF3" s="127"/>
      <c r="DG3" s="127"/>
      <c r="DH3" s="127"/>
      <c r="DI3" s="127"/>
      <c r="DJ3" s="127"/>
      <c r="DK3" s="127"/>
      <c r="DL3" s="127"/>
      <c r="DM3" s="127"/>
      <c r="DN3" s="127"/>
      <c r="DO3" s="127"/>
      <c r="DP3" s="127"/>
      <c r="DQ3" s="127"/>
      <c r="DR3" s="127"/>
      <c r="DS3" s="127"/>
      <c r="DT3" s="127"/>
      <c r="DU3" s="127"/>
      <c r="DV3" s="127"/>
      <c r="DW3" s="127"/>
      <c r="DX3" s="127"/>
      <c r="DY3" s="127"/>
      <c r="DZ3" s="127"/>
      <c r="EA3" s="127"/>
      <c r="EB3" s="127"/>
      <c r="EC3" s="127"/>
      <c r="ED3" s="127"/>
      <c r="EE3" s="127"/>
      <c r="EF3" s="127"/>
      <c r="EG3" s="127"/>
      <c r="EH3" s="127"/>
      <c r="EI3" s="127"/>
      <c r="EJ3" s="127"/>
      <c r="EK3" s="127"/>
      <c r="EL3" s="127"/>
      <c r="EM3" s="127"/>
      <c r="EN3" s="127"/>
      <c r="EO3" s="127"/>
      <c r="EP3" s="127"/>
      <c r="EQ3" s="127"/>
      <c r="ER3" s="127"/>
      <c r="ES3" s="127"/>
      <c r="ET3" s="127"/>
      <c r="EU3" s="127"/>
      <c r="EV3" s="127"/>
      <c r="EW3" s="127"/>
      <c r="EX3" s="127"/>
      <c r="EY3" s="127"/>
      <c r="EZ3" s="127"/>
      <c r="FA3" s="127"/>
      <c r="FB3" s="127"/>
      <c r="FC3" s="127"/>
      <c r="FD3" s="127"/>
      <c r="FE3" s="127"/>
      <c r="FF3" s="127"/>
      <c r="FG3" s="127"/>
      <c r="FH3" s="127"/>
      <c r="FI3" s="127"/>
      <c r="FJ3" s="127"/>
      <c r="FK3" s="127"/>
      <c r="FL3" s="127"/>
      <c r="FM3" s="127"/>
      <c r="FN3" s="127"/>
      <c r="FO3" s="127"/>
      <c r="FP3" s="127"/>
      <c r="FQ3" s="127"/>
      <c r="FR3" s="127"/>
      <c r="FS3" s="127"/>
      <c r="FT3" s="127"/>
      <c r="FU3" s="127"/>
      <c r="FV3" s="127"/>
      <c r="FW3" s="127"/>
      <c r="FX3" s="127"/>
      <c r="FY3" s="127"/>
      <c r="FZ3" s="127"/>
      <c r="GA3" s="127"/>
      <c r="GB3" s="127"/>
      <c r="GC3" s="127"/>
      <c r="GD3" s="127"/>
      <c r="GE3" s="127"/>
      <c r="GF3" s="127"/>
      <c r="GG3" s="127"/>
      <c r="GH3" s="127"/>
      <c r="GI3" s="127"/>
      <c r="GJ3" s="127"/>
      <c r="GK3" s="127"/>
      <c r="GL3" s="127"/>
      <c r="GM3" s="127"/>
      <c r="GN3" s="127"/>
      <c r="GO3" s="127"/>
      <c r="GP3" s="127"/>
      <c r="GQ3" s="127"/>
      <c r="GR3" s="127"/>
      <c r="GS3" s="127"/>
      <c r="GT3" s="127"/>
      <c r="GU3" s="127"/>
      <c r="GV3" s="127"/>
      <c r="GW3" s="127"/>
      <c r="GX3" s="127"/>
      <c r="GY3" s="127"/>
      <c r="GZ3" s="127"/>
      <c r="HA3" s="127"/>
      <c r="HB3" s="127"/>
      <c r="HC3" s="127"/>
      <c r="HD3" s="127"/>
      <c r="HE3" s="127"/>
      <c r="HF3" s="127"/>
      <c r="HG3" s="127"/>
      <c r="HH3" s="127"/>
      <c r="HI3" s="127"/>
      <c r="HJ3" s="127"/>
      <c r="HK3" s="127"/>
      <c r="HL3" s="127"/>
      <c r="HM3" s="127"/>
      <c r="HN3" s="127"/>
      <c r="HO3" s="127"/>
      <c r="HP3" s="127"/>
      <c r="HQ3" s="127"/>
      <c r="HR3" s="127"/>
      <c r="HS3" s="127"/>
      <c r="HT3" s="127"/>
      <c r="HU3" s="127"/>
      <c r="HV3" s="127"/>
      <c r="HW3" s="127"/>
      <c r="HX3" s="127"/>
      <c r="HY3" s="127"/>
      <c r="HZ3" s="127"/>
      <c r="IA3" s="127"/>
      <c r="IB3" s="127"/>
      <c r="IC3" s="127"/>
      <c r="ID3" s="127"/>
      <c r="IE3" s="127"/>
      <c r="IF3" s="127"/>
      <c r="IG3" s="127"/>
      <c r="IH3" s="127"/>
      <c r="II3" s="127"/>
      <c r="IJ3" s="127"/>
      <c r="IK3" s="127"/>
      <c r="IL3" s="127"/>
      <c r="IM3" s="127"/>
      <c r="IN3" s="127"/>
      <c r="IO3" s="127"/>
    </row>
    <row r="4" s="4" customFormat="1" spans="1:8">
      <c r="A4" s="138">
        <v>1</v>
      </c>
      <c r="B4" s="139" t="s">
        <v>694</v>
      </c>
      <c r="C4" s="96"/>
      <c r="D4" s="140" t="s">
        <v>675</v>
      </c>
      <c r="E4" s="141" t="s">
        <v>695</v>
      </c>
      <c r="F4" s="142" t="s">
        <v>429</v>
      </c>
      <c r="G4" s="42">
        <v>15916.3357857008</v>
      </c>
      <c r="H4" s="42">
        <v>9362.55046217695</v>
      </c>
    </row>
    <row r="5" s="4" customFormat="1" spans="1:8">
      <c r="A5" s="94">
        <v>2</v>
      </c>
      <c r="B5" s="143" t="s">
        <v>674</v>
      </c>
      <c r="C5" s="96"/>
      <c r="D5" s="144" t="s">
        <v>675</v>
      </c>
      <c r="E5" s="61" t="s">
        <v>696</v>
      </c>
      <c r="F5" s="62" t="s">
        <v>429</v>
      </c>
      <c r="G5" s="145">
        <v>13396.8440671571</v>
      </c>
      <c r="H5" s="145">
        <v>7880.49651009244</v>
      </c>
    </row>
    <row r="6" s="4" customFormat="1" spans="1:8">
      <c r="A6" s="94">
        <v>3</v>
      </c>
      <c r="B6" s="143" t="s">
        <v>697</v>
      </c>
      <c r="C6" s="96"/>
      <c r="D6" s="144" t="s">
        <v>698</v>
      </c>
      <c r="E6" s="61" t="s">
        <v>699</v>
      </c>
      <c r="F6" s="62" t="s">
        <v>429</v>
      </c>
      <c r="G6" s="145">
        <v>6430.77064704773</v>
      </c>
      <c r="H6" s="145">
        <v>3782.80626296925</v>
      </c>
    </row>
    <row r="7" s="4" customFormat="1" spans="1:8">
      <c r="A7" s="94">
        <v>4</v>
      </c>
      <c r="B7" s="143" t="s">
        <v>700</v>
      </c>
      <c r="C7" s="96"/>
      <c r="D7" s="144" t="s">
        <v>698</v>
      </c>
      <c r="E7" s="61" t="s">
        <v>701</v>
      </c>
      <c r="F7" s="62" t="s">
        <v>429</v>
      </c>
      <c r="G7" s="145">
        <v>7722.63467270326</v>
      </c>
      <c r="H7" s="145">
        <v>4542.72627806074</v>
      </c>
    </row>
    <row r="8" s="4" customFormat="1" spans="1:8">
      <c r="A8" s="94">
        <v>5</v>
      </c>
      <c r="B8" s="143" t="s">
        <v>702</v>
      </c>
      <c r="C8" s="96"/>
      <c r="D8" s="144" t="s">
        <v>703</v>
      </c>
      <c r="E8" s="61" t="s">
        <v>704</v>
      </c>
      <c r="F8" s="62" t="s">
        <v>429</v>
      </c>
      <c r="G8" s="145">
        <v>6918.49095139282</v>
      </c>
      <c r="H8" s="145">
        <v>4069.70055964283</v>
      </c>
    </row>
    <row r="9" s="4" customFormat="1" spans="1:8">
      <c r="A9" s="94">
        <v>6</v>
      </c>
      <c r="B9" s="143" t="s">
        <v>705</v>
      </c>
      <c r="C9" s="96"/>
      <c r="D9" s="144" t="s">
        <v>703</v>
      </c>
      <c r="E9" s="61" t="s">
        <v>706</v>
      </c>
      <c r="F9" s="62" t="s">
        <v>429</v>
      </c>
      <c r="G9" s="145">
        <v>7146.88680123247</v>
      </c>
      <c r="H9" s="145">
        <v>4204.05105954851</v>
      </c>
    </row>
    <row r="10" s="4" customFormat="1" spans="1:8">
      <c r="A10" s="94">
        <v>7</v>
      </c>
      <c r="B10" s="143" t="s">
        <v>707</v>
      </c>
      <c r="C10" s="96"/>
      <c r="D10" s="144" t="s">
        <v>703</v>
      </c>
      <c r="E10" s="61" t="s">
        <v>708</v>
      </c>
      <c r="F10" s="62" t="s">
        <v>429</v>
      </c>
      <c r="G10" s="145">
        <v>13606.2069295102</v>
      </c>
      <c r="H10" s="145">
        <v>8003.65113500597</v>
      </c>
    </row>
    <row r="11" s="4" customFormat="1" spans="1:8">
      <c r="A11" s="94">
        <v>8</v>
      </c>
      <c r="B11" s="143" t="s">
        <v>709</v>
      </c>
      <c r="C11" s="96"/>
      <c r="D11" s="144" t="s">
        <v>618</v>
      </c>
      <c r="E11" s="61" t="s">
        <v>710</v>
      </c>
      <c r="F11" s="62" t="s">
        <v>429</v>
      </c>
      <c r="G11" s="145">
        <v>1144.35837263409</v>
      </c>
      <c r="H11" s="145">
        <v>673.151983902408</v>
      </c>
    </row>
    <row r="12" s="4" customFormat="1" ht="31.5" spans="1:8">
      <c r="A12" s="94">
        <v>9</v>
      </c>
      <c r="B12" s="146" t="s">
        <v>711</v>
      </c>
      <c r="C12" s="96"/>
      <c r="D12" s="147" t="s">
        <v>712</v>
      </c>
      <c r="E12" s="65" t="s">
        <v>713</v>
      </c>
      <c r="F12" s="62" t="s">
        <v>429</v>
      </c>
      <c r="G12" s="148">
        <v>12062.1558196567</v>
      </c>
      <c r="H12" s="148">
        <v>7095.38577626863</v>
      </c>
    </row>
    <row r="13" s="4" customFormat="1" spans="1:8">
      <c r="A13" s="94">
        <v>10</v>
      </c>
      <c r="B13" s="143" t="s">
        <v>714</v>
      </c>
      <c r="C13" s="96"/>
      <c r="D13" s="144" t="s">
        <v>715</v>
      </c>
      <c r="E13" s="61" t="s">
        <v>716</v>
      </c>
      <c r="F13" s="62" t="s">
        <v>429</v>
      </c>
      <c r="G13" s="145">
        <v>17838.6675218512</v>
      </c>
      <c r="H13" s="145">
        <v>10493.3338363831</v>
      </c>
    </row>
    <row r="14" s="4" customFormat="1" spans="1:8">
      <c r="A14" s="94">
        <v>11</v>
      </c>
      <c r="B14" s="143" t="s">
        <v>717</v>
      </c>
      <c r="C14" s="96"/>
      <c r="D14" s="144" t="s">
        <v>682</v>
      </c>
      <c r="E14" s="61" t="s">
        <v>718</v>
      </c>
      <c r="F14" s="62" t="s">
        <v>429</v>
      </c>
      <c r="G14" s="148">
        <v>2612.27753254103</v>
      </c>
      <c r="H14" s="148">
        <v>1536.63384267119</v>
      </c>
    </row>
    <row r="15" s="4" customFormat="1" spans="1:8">
      <c r="A15" s="94">
        <v>12</v>
      </c>
      <c r="B15" s="143" t="s">
        <v>719</v>
      </c>
      <c r="C15" s="96"/>
      <c r="D15" s="144" t="s">
        <v>682</v>
      </c>
      <c r="E15" s="61" t="s">
        <v>720</v>
      </c>
      <c r="F15" s="62" t="s">
        <v>429</v>
      </c>
      <c r="G15" s="148">
        <v>1843.82066276803</v>
      </c>
      <c r="H15" s="148">
        <v>1084.60038986355</v>
      </c>
    </row>
    <row r="16" s="4" customFormat="1" spans="1:8">
      <c r="A16" s="94">
        <v>13</v>
      </c>
      <c r="B16" s="143" t="s">
        <v>721</v>
      </c>
      <c r="C16" s="96"/>
      <c r="D16" s="144" t="s">
        <v>682</v>
      </c>
      <c r="E16" s="61" t="s">
        <v>722</v>
      </c>
      <c r="F16" s="62" t="s">
        <v>429</v>
      </c>
      <c r="G16" s="148">
        <v>2843.05250581651</v>
      </c>
      <c r="H16" s="148">
        <v>1672.38382695089</v>
      </c>
    </row>
    <row r="17" s="4" customFormat="1" spans="1:8">
      <c r="A17" s="94">
        <v>14</v>
      </c>
      <c r="B17" s="149" t="s">
        <v>723</v>
      </c>
      <c r="C17" s="96"/>
      <c r="D17" s="144" t="s">
        <v>682</v>
      </c>
      <c r="E17" s="150" t="s">
        <v>724</v>
      </c>
      <c r="F17" s="151" t="s">
        <v>394</v>
      </c>
      <c r="G17" s="66">
        <v>5930.67890083632</v>
      </c>
      <c r="H17" s="66">
        <v>3488.63464755078</v>
      </c>
    </row>
    <row r="18" s="4" customFormat="1" spans="1:8">
      <c r="A18" s="94">
        <v>15</v>
      </c>
      <c r="B18" s="149" t="s">
        <v>725</v>
      </c>
      <c r="C18" s="96"/>
      <c r="D18" s="144" t="s">
        <v>682</v>
      </c>
      <c r="E18" s="99" t="s">
        <v>724</v>
      </c>
      <c r="F18" s="62" t="s">
        <v>429</v>
      </c>
      <c r="G18" s="66">
        <v>4259.96325925926</v>
      </c>
      <c r="H18" s="66">
        <v>2505.86074074074</v>
      </c>
    </row>
    <row r="19" s="4" customFormat="1" spans="1:8">
      <c r="A19" s="94">
        <v>16</v>
      </c>
      <c r="B19" s="149" t="s">
        <v>726</v>
      </c>
      <c r="C19" s="96"/>
      <c r="D19" s="144" t="s">
        <v>682</v>
      </c>
      <c r="E19" s="99" t="s">
        <v>724</v>
      </c>
      <c r="F19" s="65" t="s">
        <v>727</v>
      </c>
      <c r="G19" s="66">
        <v>5511.19185663082</v>
      </c>
      <c r="H19" s="66">
        <v>3241.87756272401</v>
      </c>
    </row>
    <row r="20" s="4" customFormat="1" spans="1:8">
      <c r="A20" s="94">
        <v>17</v>
      </c>
      <c r="B20" s="149" t="s">
        <v>728</v>
      </c>
      <c r="C20" s="96"/>
      <c r="D20" s="144" t="s">
        <v>682</v>
      </c>
      <c r="E20" s="99" t="s">
        <v>724</v>
      </c>
      <c r="F20" s="65" t="s">
        <v>729</v>
      </c>
      <c r="G20" s="66">
        <v>3307.07674074074</v>
      </c>
      <c r="H20" s="66">
        <v>1945.33925925926</v>
      </c>
    </row>
    <row r="21" s="4" customFormat="1" spans="1:8">
      <c r="A21" s="94"/>
      <c r="B21" s="149"/>
      <c r="C21" s="96"/>
      <c r="D21" s="144"/>
      <c r="E21" s="99"/>
      <c r="F21" s="65"/>
      <c r="G21" s="66" t="s">
        <v>730</v>
      </c>
      <c r="H21" s="66" t="s">
        <v>730</v>
      </c>
    </row>
    <row r="22" s="4" customFormat="1" spans="1:8">
      <c r="A22" s="94">
        <v>18</v>
      </c>
      <c r="B22" s="149" t="s">
        <v>731</v>
      </c>
      <c r="C22" s="96"/>
      <c r="D22" s="144" t="s">
        <v>732</v>
      </c>
      <c r="E22" s="99" t="s">
        <v>733</v>
      </c>
      <c r="F22" s="65" t="s">
        <v>729</v>
      </c>
      <c r="G22" s="66">
        <v>16864.4640573477</v>
      </c>
      <c r="H22" s="66">
        <v>9920.27297491039</v>
      </c>
    </row>
    <row r="23" s="4" customFormat="1" ht="31" customHeight="1" spans="1:8">
      <c r="A23" s="94">
        <v>19</v>
      </c>
      <c r="B23" s="149" t="s">
        <v>734</v>
      </c>
      <c r="C23" s="96"/>
      <c r="D23" s="144" t="s">
        <v>735</v>
      </c>
      <c r="E23" s="99" t="s">
        <v>724</v>
      </c>
      <c r="F23" s="65" t="s">
        <v>736</v>
      </c>
      <c r="G23" s="66">
        <v>4619.78188769415</v>
      </c>
      <c r="H23" s="66">
        <v>2717.51875746714</v>
      </c>
    </row>
    <row r="24" s="4" customFormat="1" spans="1:8">
      <c r="A24" s="94">
        <v>20</v>
      </c>
      <c r="B24" s="149" t="s">
        <v>737</v>
      </c>
      <c r="C24" s="96"/>
      <c r="D24" s="144" t="s">
        <v>738</v>
      </c>
      <c r="E24" s="99" t="s">
        <v>724</v>
      </c>
      <c r="F24" s="65" t="s">
        <v>736</v>
      </c>
      <c r="G24" s="66">
        <v>3495.12265710872</v>
      </c>
      <c r="H24" s="66">
        <v>2055.9545041816</v>
      </c>
    </row>
    <row r="25" s="4" customFormat="1" ht="26" customHeight="1" spans="1:8">
      <c r="A25" s="94">
        <v>21</v>
      </c>
      <c r="B25" s="152" t="s">
        <v>739</v>
      </c>
      <c r="C25" s="96"/>
      <c r="D25" s="144" t="s">
        <v>682</v>
      </c>
      <c r="E25" s="65" t="s">
        <v>740</v>
      </c>
      <c r="F25" s="65" t="s">
        <v>741</v>
      </c>
      <c r="G25" s="66">
        <v>8480.14757467144</v>
      </c>
      <c r="H25" s="66">
        <v>4988.32210274791</v>
      </c>
    </row>
    <row r="26" s="4" customFormat="1" ht="32.25" customHeight="1" spans="1:8">
      <c r="A26" s="94">
        <v>22</v>
      </c>
      <c r="B26" s="149" t="s">
        <v>742</v>
      </c>
      <c r="C26" s="96"/>
      <c r="D26" s="144" t="s">
        <v>682</v>
      </c>
      <c r="E26" s="99" t="s">
        <v>743</v>
      </c>
      <c r="F26" s="99" t="s">
        <v>744</v>
      </c>
      <c r="G26" s="66">
        <v>5418.97703225807</v>
      </c>
      <c r="H26" s="66">
        <v>3187.6335483871</v>
      </c>
    </row>
    <row r="27" s="4" customFormat="1" ht="32.25" customHeight="1" spans="1:8">
      <c r="A27" s="94">
        <v>23</v>
      </c>
      <c r="B27" s="149" t="s">
        <v>745</v>
      </c>
      <c r="C27" s="96"/>
      <c r="D27" s="144" t="s">
        <v>682</v>
      </c>
      <c r="E27" s="65" t="s">
        <v>746</v>
      </c>
      <c r="F27" s="65" t="s">
        <v>747</v>
      </c>
      <c r="G27" s="66">
        <v>7984.04086021505</v>
      </c>
      <c r="H27" s="66">
        <v>4696.49462365591</v>
      </c>
    </row>
    <row r="28" s="4" customFormat="1" ht="32.25" customHeight="1" spans="1:8">
      <c r="A28" s="94">
        <v>24</v>
      </c>
      <c r="B28" s="149" t="s">
        <v>748</v>
      </c>
      <c r="C28" s="96"/>
      <c r="D28" s="144" t="s">
        <v>682</v>
      </c>
      <c r="E28" s="99" t="s">
        <v>749</v>
      </c>
      <c r="F28" s="65" t="s">
        <v>750</v>
      </c>
      <c r="G28" s="66">
        <v>6539.79397849462</v>
      </c>
      <c r="H28" s="66">
        <v>3846.9376344086</v>
      </c>
    </row>
    <row r="29" s="4" customFormat="1" ht="32.25" customHeight="1" spans="1:8">
      <c r="A29" s="94">
        <v>25</v>
      </c>
      <c r="B29" s="149" t="s">
        <v>751</v>
      </c>
      <c r="C29" s="96"/>
      <c r="D29" s="144" t="s">
        <v>682</v>
      </c>
      <c r="E29" s="65" t="s">
        <v>752</v>
      </c>
      <c r="F29" s="65">
        <v>992</v>
      </c>
      <c r="G29" s="66">
        <v>9298.10210752688</v>
      </c>
      <c r="H29" s="66">
        <v>5469.47182795699</v>
      </c>
    </row>
    <row r="30" s="4" customFormat="1" ht="32.25" customHeight="1" spans="1:8">
      <c r="A30" s="94">
        <v>26</v>
      </c>
      <c r="B30" s="149" t="s">
        <v>753</v>
      </c>
      <c r="C30" s="96"/>
      <c r="D30" s="144" t="s">
        <v>754</v>
      </c>
      <c r="E30" s="65" t="s">
        <v>755</v>
      </c>
      <c r="F30" s="65" t="s">
        <v>756</v>
      </c>
      <c r="G30" s="66">
        <v>3986.93505376344</v>
      </c>
      <c r="H30" s="66">
        <v>2345.25591397849</v>
      </c>
    </row>
    <row r="31" s="4" customFormat="1" ht="32.25" customHeight="1" spans="1:8">
      <c r="A31" s="94">
        <v>27</v>
      </c>
      <c r="B31" s="149" t="s">
        <v>757</v>
      </c>
      <c r="C31" s="96"/>
      <c r="D31" s="144" t="s">
        <v>682</v>
      </c>
      <c r="E31" s="65" t="s">
        <v>758</v>
      </c>
      <c r="F31" s="67" t="s">
        <v>759</v>
      </c>
      <c r="G31" s="66">
        <v>6043.46124731183</v>
      </c>
      <c r="H31" s="66">
        <v>3554.97720430108</v>
      </c>
    </row>
    <row r="32" s="4" customFormat="1" ht="32.25" customHeight="1" spans="1:8">
      <c r="A32" s="94">
        <v>28</v>
      </c>
      <c r="B32" s="149" t="s">
        <v>760</v>
      </c>
      <c r="C32" s="96"/>
      <c r="D32" s="144" t="s">
        <v>682</v>
      </c>
      <c r="E32" s="65" t="s">
        <v>761</v>
      </c>
      <c r="F32" s="67" t="s">
        <v>759</v>
      </c>
      <c r="G32" s="66">
        <v>6533.69152688172</v>
      </c>
      <c r="H32" s="66">
        <v>3843.34795698925</v>
      </c>
    </row>
    <row r="33" s="4" customFormat="1" ht="37" customHeight="1" spans="1:8">
      <c r="A33" s="94">
        <v>29</v>
      </c>
      <c r="B33" s="149" t="s">
        <v>762</v>
      </c>
      <c r="C33" s="96"/>
      <c r="D33" s="144" t="s">
        <v>682</v>
      </c>
      <c r="E33" s="65" t="s">
        <v>763</v>
      </c>
      <c r="F33" s="67" t="s">
        <v>764</v>
      </c>
      <c r="G33" s="66">
        <v>6006.84653763441</v>
      </c>
      <c r="H33" s="66">
        <v>3533.43913978495</v>
      </c>
    </row>
    <row r="34" s="4" customFormat="1" ht="37" customHeight="1" spans="1:8">
      <c r="A34" s="94">
        <v>30</v>
      </c>
      <c r="B34" s="149" t="s">
        <v>765</v>
      </c>
      <c r="C34" s="96"/>
      <c r="D34" s="144" t="s">
        <v>682</v>
      </c>
      <c r="E34" s="65" t="s">
        <v>763</v>
      </c>
      <c r="F34" s="67" t="s">
        <v>766</v>
      </c>
      <c r="G34" s="66">
        <v>7312.7711827957</v>
      </c>
      <c r="H34" s="66">
        <v>4301.63010752688</v>
      </c>
    </row>
    <row r="35" s="4" customFormat="1" ht="28" customHeight="1" spans="1:8">
      <c r="A35" s="94">
        <v>31</v>
      </c>
      <c r="B35" s="149" t="s">
        <v>767</v>
      </c>
      <c r="C35" s="96"/>
      <c r="D35" s="144" t="s">
        <v>682</v>
      </c>
      <c r="E35" s="65" t="s">
        <v>761</v>
      </c>
      <c r="F35" s="67" t="s">
        <v>768</v>
      </c>
      <c r="G35" s="66">
        <v>10612.1633548387</v>
      </c>
      <c r="H35" s="66">
        <v>6242.44903225806</v>
      </c>
    </row>
    <row r="36" s="4" customFormat="1" ht="37" customHeight="1" spans="1:8">
      <c r="A36" s="94">
        <v>32</v>
      </c>
      <c r="B36" s="149" t="s">
        <v>769</v>
      </c>
      <c r="C36" s="96"/>
      <c r="D36" s="144" t="s">
        <v>682</v>
      </c>
      <c r="E36" s="65" t="s">
        <v>770</v>
      </c>
      <c r="F36" s="67" t="s">
        <v>768</v>
      </c>
      <c r="G36" s="66">
        <v>7444.99096774194</v>
      </c>
      <c r="H36" s="66">
        <v>4379.4064516129</v>
      </c>
    </row>
    <row r="37" s="127" customFormat="1" ht="46" customHeight="1" spans="1:8">
      <c r="A37" s="153">
        <v>33</v>
      </c>
      <c r="B37" s="149" t="s">
        <v>771</v>
      </c>
      <c r="C37" s="154"/>
      <c r="D37" s="155" t="s">
        <v>772</v>
      </c>
      <c r="E37" s="65" t="s">
        <v>773</v>
      </c>
      <c r="F37" s="67" t="s">
        <v>579</v>
      </c>
      <c r="G37" s="66">
        <v>5547.12851612903</v>
      </c>
      <c r="H37" s="66">
        <v>3263.01677419355</v>
      </c>
    </row>
    <row r="38" s="4" customFormat="1" ht="38" customHeight="1" spans="1:8">
      <c r="A38" s="94">
        <v>34</v>
      </c>
      <c r="B38" s="149" t="s">
        <v>774</v>
      </c>
      <c r="C38" s="96"/>
      <c r="D38" s="155" t="s">
        <v>772</v>
      </c>
      <c r="E38" s="65" t="s">
        <v>775</v>
      </c>
      <c r="F38" s="67" t="s">
        <v>776</v>
      </c>
      <c r="G38" s="66">
        <v>8950.2623655914</v>
      </c>
      <c r="H38" s="66">
        <v>5264.86021505376</v>
      </c>
    </row>
    <row r="39" s="4" customFormat="1" ht="48" customHeight="1" spans="1:8">
      <c r="A39" s="153">
        <v>33</v>
      </c>
      <c r="B39" s="149" t="s">
        <v>777</v>
      </c>
      <c r="C39" s="96"/>
      <c r="D39" s="155" t="s">
        <v>772</v>
      </c>
      <c r="E39" s="65" t="s">
        <v>778</v>
      </c>
      <c r="F39" s="67" t="s">
        <v>766</v>
      </c>
      <c r="G39" s="66">
        <v>8907.54520430108</v>
      </c>
      <c r="H39" s="66">
        <v>5239.73247311828</v>
      </c>
    </row>
    <row r="40" s="4" customFormat="1" ht="40" customHeight="1" spans="1:8">
      <c r="A40" s="94">
        <v>34</v>
      </c>
      <c r="B40" s="149" t="s">
        <v>779</v>
      </c>
      <c r="C40" s="96"/>
      <c r="D40" s="155" t="s">
        <v>682</v>
      </c>
      <c r="E40" s="65" t="s">
        <v>780</v>
      </c>
      <c r="F40" s="67" t="s">
        <v>781</v>
      </c>
      <c r="G40" s="66">
        <v>13972.5800430108</v>
      </c>
      <c r="H40" s="66">
        <v>8219.1647311828</v>
      </c>
    </row>
  </sheetData>
  <mergeCells count="1">
    <mergeCell ref="A1:I1"/>
  </mergeCells>
  <pageMargins left="0.75" right="0.75" top="1" bottom="1" header="0.5" footer="0.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Q49"/>
  <sheetViews>
    <sheetView topLeftCell="A38" workbookViewId="0">
      <selection activeCell="D50" sqref="D50"/>
    </sheetView>
  </sheetViews>
  <sheetFormatPr defaultColWidth="9.14285714285714" defaultRowHeight="12.75"/>
  <cols>
    <col min="1" max="1" width="5.42857142857143" style="74" customWidth="1"/>
    <col min="2" max="2" width="20" style="74" customWidth="1"/>
    <col min="3" max="3" width="41.7142857142857" style="75" customWidth="1"/>
    <col min="4" max="4" width="16.552380952381" style="74" customWidth="1"/>
    <col min="5" max="5" width="25.4285714285714" style="76" customWidth="1"/>
    <col min="6" max="6" width="28.2857142857143" style="76" customWidth="1"/>
    <col min="7" max="7" width="12.4285714285714" style="77" customWidth="1"/>
    <col min="8" max="9" width="9.14285714285714" style="77"/>
    <col min="10" max="16380" width="9.14285714285714" style="4"/>
  </cols>
  <sheetData>
    <row r="1" s="73" customFormat="1" ht="30.75" spans="1:251">
      <c r="A1" s="78" t="s">
        <v>782</v>
      </c>
      <c r="B1" s="79"/>
      <c r="C1" s="80"/>
      <c r="D1" s="81"/>
      <c r="E1" s="82"/>
      <c r="F1" s="80"/>
      <c r="G1" s="82"/>
      <c r="H1" s="83"/>
      <c r="I1" s="125"/>
      <c r="J1" s="126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  <c r="BW1" s="127"/>
      <c r="BX1" s="127"/>
      <c r="BY1" s="127"/>
      <c r="BZ1" s="127"/>
      <c r="CA1" s="127"/>
      <c r="CB1" s="127"/>
      <c r="CC1" s="127"/>
      <c r="CD1" s="127"/>
      <c r="CE1" s="127"/>
      <c r="CF1" s="127"/>
      <c r="CG1" s="127"/>
      <c r="CH1" s="127"/>
      <c r="CI1" s="127"/>
      <c r="CJ1" s="127"/>
      <c r="CK1" s="127"/>
      <c r="CL1" s="127"/>
      <c r="CM1" s="127"/>
      <c r="CN1" s="127"/>
      <c r="CO1" s="127"/>
      <c r="CP1" s="127"/>
      <c r="CQ1" s="127"/>
      <c r="CR1" s="127"/>
      <c r="CS1" s="127"/>
      <c r="CT1" s="127"/>
      <c r="CU1" s="127"/>
      <c r="CV1" s="127"/>
      <c r="CW1" s="127"/>
      <c r="CX1" s="127"/>
      <c r="CY1" s="127"/>
      <c r="CZ1" s="127"/>
      <c r="DA1" s="127"/>
      <c r="DB1" s="127"/>
      <c r="DC1" s="127"/>
      <c r="DD1" s="127"/>
      <c r="DE1" s="127"/>
      <c r="DF1" s="127"/>
      <c r="DG1" s="127"/>
      <c r="DH1" s="127"/>
      <c r="DI1" s="127"/>
      <c r="DJ1" s="127"/>
      <c r="DK1" s="127"/>
      <c r="DL1" s="127"/>
      <c r="DM1" s="127"/>
      <c r="DN1" s="127"/>
      <c r="DO1" s="127"/>
      <c r="DP1" s="127"/>
      <c r="DQ1" s="127"/>
      <c r="DR1" s="127"/>
      <c r="DS1" s="127"/>
      <c r="DT1" s="127"/>
      <c r="DU1" s="127"/>
      <c r="DV1" s="127"/>
      <c r="DW1" s="127"/>
      <c r="DX1" s="127"/>
      <c r="DY1" s="127"/>
      <c r="DZ1" s="127"/>
      <c r="EA1" s="127"/>
      <c r="EB1" s="127"/>
      <c r="EC1" s="127"/>
      <c r="ED1" s="127"/>
      <c r="EE1" s="127"/>
      <c r="EF1" s="127"/>
      <c r="EG1" s="127"/>
      <c r="EH1" s="127"/>
      <c r="EI1" s="127"/>
      <c r="EJ1" s="127"/>
      <c r="EK1" s="127"/>
      <c r="EL1" s="127"/>
      <c r="EM1" s="127"/>
      <c r="EN1" s="127"/>
      <c r="EO1" s="127"/>
      <c r="EP1" s="127"/>
      <c r="EQ1" s="127"/>
      <c r="ER1" s="127"/>
      <c r="ES1" s="127"/>
      <c r="ET1" s="127"/>
      <c r="EU1" s="127"/>
      <c r="EV1" s="127"/>
      <c r="EW1" s="127"/>
      <c r="EX1" s="127"/>
      <c r="EY1" s="127"/>
      <c r="EZ1" s="127"/>
      <c r="FA1" s="127"/>
      <c r="FB1" s="127"/>
      <c r="FC1" s="127"/>
      <c r="FD1" s="127"/>
      <c r="FE1" s="127"/>
      <c r="FF1" s="127"/>
      <c r="FG1" s="127"/>
      <c r="FH1" s="127"/>
      <c r="FI1" s="127"/>
      <c r="FJ1" s="127"/>
      <c r="FK1" s="127"/>
      <c r="FL1" s="127"/>
      <c r="FM1" s="127"/>
      <c r="FN1" s="127"/>
      <c r="FO1" s="127"/>
      <c r="FP1" s="127"/>
      <c r="FQ1" s="127"/>
      <c r="FR1" s="127"/>
      <c r="FS1" s="127"/>
      <c r="FT1" s="127"/>
      <c r="FU1" s="127"/>
      <c r="FV1" s="127"/>
      <c r="FW1" s="127"/>
      <c r="FX1" s="127"/>
      <c r="FY1" s="127"/>
      <c r="FZ1" s="127"/>
      <c r="GA1" s="127"/>
      <c r="GB1" s="127"/>
      <c r="GC1" s="127"/>
      <c r="GD1" s="127"/>
      <c r="GE1" s="127"/>
      <c r="GF1" s="127"/>
      <c r="GG1" s="127"/>
      <c r="GH1" s="127"/>
      <c r="GI1" s="127"/>
      <c r="GJ1" s="127"/>
      <c r="GK1" s="127"/>
      <c r="GL1" s="127"/>
      <c r="GM1" s="127"/>
      <c r="GN1" s="127"/>
      <c r="GO1" s="127"/>
      <c r="GP1" s="127"/>
      <c r="GQ1" s="127"/>
      <c r="GR1" s="127"/>
      <c r="GS1" s="127"/>
      <c r="GT1" s="127"/>
      <c r="GU1" s="127"/>
      <c r="GV1" s="127"/>
      <c r="GW1" s="127"/>
      <c r="GX1" s="127"/>
      <c r="GY1" s="127"/>
      <c r="GZ1" s="127"/>
      <c r="HA1" s="127"/>
      <c r="HB1" s="127"/>
      <c r="HC1" s="127"/>
      <c r="HD1" s="127"/>
      <c r="HE1" s="127"/>
      <c r="HF1" s="127"/>
      <c r="HG1" s="127"/>
      <c r="HH1" s="127"/>
      <c r="HI1" s="127"/>
      <c r="HJ1" s="127"/>
      <c r="HK1" s="127"/>
      <c r="HL1" s="127"/>
      <c r="HM1" s="127"/>
      <c r="HN1" s="127"/>
      <c r="HO1" s="127"/>
      <c r="HP1" s="127"/>
      <c r="HQ1" s="127"/>
      <c r="HR1" s="127"/>
      <c r="HS1" s="127"/>
      <c r="HT1" s="127"/>
      <c r="HU1" s="127"/>
      <c r="HV1" s="127"/>
      <c r="HW1" s="127"/>
      <c r="HX1" s="127"/>
      <c r="HY1" s="127"/>
      <c r="HZ1" s="127"/>
      <c r="IA1" s="127"/>
      <c r="IB1" s="127"/>
      <c r="IC1" s="127"/>
      <c r="ID1" s="127"/>
      <c r="IE1" s="127"/>
      <c r="IF1" s="127"/>
      <c r="IG1" s="127"/>
      <c r="IH1" s="127"/>
      <c r="II1" s="127"/>
      <c r="IJ1" s="127"/>
      <c r="IK1" s="127"/>
      <c r="IL1" s="127"/>
      <c r="IM1" s="127"/>
      <c r="IN1" s="127"/>
      <c r="IO1" s="127"/>
      <c r="IP1" s="127"/>
      <c r="IQ1" s="127"/>
    </row>
    <row r="2" s="73" customFormat="1" ht="15.75" spans="1:251">
      <c r="A2" s="84"/>
      <c r="B2" s="85"/>
      <c r="C2" s="86"/>
      <c r="D2" s="87"/>
      <c r="E2" s="88"/>
      <c r="F2" s="86"/>
      <c r="G2" s="88"/>
      <c r="H2" s="86"/>
      <c r="I2" s="128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7"/>
      <c r="BV2" s="127"/>
      <c r="BW2" s="127"/>
      <c r="BX2" s="127"/>
      <c r="BY2" s="127"/>
      <c r="BZ2" s="127"/>
      <c r="CA2" s="127"/>
      <c r="CB2" s="127"/>
      <c r="CC2" s="127"/>
      <c r="CD2" s="127"/>
      <c r="CE2" s="127"/>
      <c r="CF2" s="127"/>
      <c r="CG2" s="127"/>
      <c r="CH2" s="127"/>
      <c r="CI2" s="127"/>
      <c r="CJ2" s="127"/>
      <c r="CK2" s="127"/>
      <c r="CL2" s="127"/>
      <c r="CM2" s="127"/>
      <c r="CN2" s="127"/>
      <c r="CO2" s="127"/>
      <c r="CP2" s="127"/>
      <c r="CQ2" s="127"/>
      <c r="CR2" s="127"/>
      <c r="CS2" s="127"/>
      <c r="CT2" s="127"/>
      <c r="CU2" s="127"/>
      <c r="CV2" s="127"/>
      <c r="CW2" s="127"/>
      <c r="CX2" s="127"/>
      <c r="CY2" s="127"/>
      <c r="CZ2" s="127"/>
      <c r="DA2" s="127"/>
      <c r="DB2" s="127"/>
      <c r="DC2" s="127"/>
      <c r="DD2" s="127"/>
      <c r="DE2" s="127"/>
      <c r="DF2" s="127"/>
      <c r="DG2" s="127"/>
      <c r="DH2" s="127"/>
      <c r="DI2" s="127"/>
      <c r="DJ2" s="127"/>
      <c r="DK2" s="127"/>
      <c r="DL2" s="127"/>
      <c r="DM2" s="127"/>
      <c r="DN2" s="127"/>
      <c r="DO2" s="127"/>
      <c r="DP2" s="127"/>
      <c r="DQ2" s="127"/>
      <c r="DR2" s="127"/>
      <c r="DS2" s="127"/>
      <c r="DT2" s="127"/>
      <c r="DU2" s="127"/>
      <c r="DV2" s="127"/>
      <c r="DW2" s="127"/>
      <c r="DX2" s="127"/>
      <c r="DY2" s="127"/>
      <c r="DZ2" s="127"/>
      <c r="EA2" s="127"/>
      <c r="EB2" s="127"/>
      <c r="EC2" s="127"/>
      <c r="ED2" s="127"/>
      <c r="EE2" s="127"/>
      <c r="EF2" s="127"/>
      <c r="EG2" s="127"/>
      <c r="EH2" s="127"/>
      <c r="EI2" s="127"/>
      <c r="EJ2" s="127"/>
      <c r="EK2" s="127"/>
      <c r="EL2" s="127"/>
      <c r="EM2" s="127"/>
      <c r="EN2" s="127"/>
      <c r="EO2" s="127"/>
      <c r="EP2" s="127"/>
      <c r="EQ2" s="127"/>
      <c r="ER2" s="127"/>
      <c r="ES2" s="127"/>
      <c r="ET2" s="127"/>
      <c r="EU2" s="127"/>
      <c r="EV2" s="127"/>
      <c r="EW2" s="127"/>
      <c r="EX2" s="127"/>
      <c r="EY2" s="127"/>
      <c r="EZ2" s="127"/>
      <c r="FA2" s="127"/>
      <c r="FB2" s="127"/>
      <c r="FC2" s="127"/>
      <c r="FD2" s="127"/>
      <c r="FE2" s="127"/>
      <c r="FF2" s="127"/>
      <c r="FG2" s="127"/>
      <c r="FH2" s="127"/>
      <c r="FI2" s="127"/>
      <c r="FJ2" s="127"/>
      <c r="FK2" s="127"/>
      <c r="FL2" s="127"/>
      <c r="FM2" s="127"/>
      <c r="FN2" s="127"/>
      <c r="FO2" s="127"/>
      <c r="FP2" s="127"/>
      <c r="FQ2" s="127"/>
      <c r="FR2" s="127"/>
      <c r="FS2" s="127"/>
      <c r="FT2" s="127"/>
      <c r="FU2" s="127"/>
      <c r="FV2" s="127"/>
      <c r="FW2" s="127"/>
      <c r="FX2" s="127"/>
      <c r="FY2" s="127"/>
      <c r="FZ2" s="127"/>
      <c r="GA2" s="127"/>
      <c r="GB2" s="127"/>
      <c r="GC2" s="127"/>
      <c r="GD2" s="127"/>
      <c r="GE2" s="127"/>
      <c r="GF2" s="127"/>
      <c r="GG2" s="127"/>
      <c r="GH2" s="127"/>
      <c r="GI2" s="127"/>
      <c r="GJ2" s="127"/>
      <c r="GK2" s="127"/>
      <c r="GL2" s="127"/>
      <c r="GM2" s="127"/>
      <c r="GN2" s="127"/>
      <c r="GO2" s="127"/>
      <c r="GP2" s="127"/>
      <c r="GQ2" s="127"/>
      <c r="GR2" s="127"/>
      <c r="GS2" s="127"/>
      <c r="GT2" s="127"/>
      <c r="GU2" s="127"/>
      <c r="GV2" s="127"/>
      <c r="GW2" s="127"/>
      <c r="GX2" s="127"/>
      <c r="GY2" s="127"/>
      <c r="GZ2" s="127"/>
      <c r="HA2" s="127"/>
      <c r="HB2" s="127"/>
      <c r="HC2" s="127"/>
      <c r="HD2" s="127"/>
      <c r="HE2" s="127"/>
      <c r="HF2" s="127"/>
      <c r="HG2" s="127"/>
      <c r="HH2" s="127"/>
      <c r="HI2" s="127"/>
      <c r="HJ2" s="127"/>
      <c r="HK2" s="127"/>
      <c r="HL2" s="127"/>
      <c r="HM2" s="127"/>
      <c r="HN2" s="127"/>
      <c r="HO2" s="127"/>
      <c r="HP2" s="127"/>
      <c r="HQ2" s="127"/>
      <c r="HR2" s="127"/>
      <c r="HS2" s="127"/>
      <c r="HT2" s="127"/>
      <c r="HU2" s="127"/>
      <c r="HV2" s="127"/>
      <c r="HW2" s="127"/>
      <c r="HX2" s="127"/>
      <c r="HY2" s="127"/>
      <c r="HZ2" s="127"/>
      <c r="IA2" s="127"/>
      <c r="IB2" s="127"/>
      <c r="IC2" s="127"/>
      <c r="ID2" s="127"/>
      <c r="IE2" s="127"/>
      <c r="IF2" s="127"/>
      <c r="IG2" s="127"/>
      <c r="IH2" s="127"/>
      <c r="II2" s="127"/>
      <c r="IJ2" s="127"/>
      <c r="IK2" s="127"/>
      <c r="IL2" s="127"/>
      <c r="IM2" s="127"/>
      <c r="IN2" s="127"/>
      <c r="IO2" s="127"/>
      <c r="IP2" s="127"/>
      <c r="IQ2" s="127"/>
    </row>
    <row r="3" s="73" customFormat="1" ht="14.25" spans="1:248">
      <c r="A3" s="89" t="s">
        <v>1</v>
      </c>
      <c r="B3" s="90" t="s">
        <v>572</v>
      </c>
      <c r="C3" s="89" t="s">
        <v>3</v>
      </c>
      <c r="D3" s="90" t="s">
        <v>4</v>
      </c>
      <c r="E3" s="91" t="s">
        <v>573</v>
      </c>
      <c r="F3" s="92" t="s">
        <v>6</v>
      </c>
      <c r="G3" s="93" t="s">
        <v>7</v>
      </c>
      <c r="H3" s="91" t="s">
        <v>693</v>
      </c>
      <c r="I3" s="129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7"/>
      <c r="BF3" s="127"/>
      <c r="BG3" s="127"/>
      <c r="BH3" s="127"/>
      <c r="BI3" s="127"/>
      <c r="BJ3" s="127"/>
      <c r="BK3" s="127"/>
      <c r="BL3" s="127"/>
      <c r="BM3" s="127"/>
      <c r="BN3" s="127"/>
      <c r="BO3" s="127"/>
      <c r="BP3" s="127"/>
      <c r="BQ3" s="127"/>
      <c r="BR3" s="127"/>
      <c r="BS3" s="127"/>
      <c r="BT3" s="127"/>
      <c r="BU3" s="127"/>
      <c r="BV3" s="127"/>
      <c r="BW3" s="127"/>
      <c r="BX3" s="127"/>
      <c r="BY3" s="127"/>
      <c r="BZ3" s="127"/>
      <c r="CA3" s="127"/>
      <c r="CB3" s="127"/>
      <c r="CC3" s="127"/>
      <c r="CD3" s="127"/>
      <c r="CE3" s="127"/>
      <c r="CF3" s="127"/>
      <c r="CG3" s="127"/>
      <c r="CH3" s="127"/>
      <c r="CI3" s="127"/>
      <c r="CJ3" s="127"/>
      <c r="CK3" s="127"/>
      <c r="CL3" s="127"/>
      <c r="CM3" s="127"/>
      <c r="CN3" s="127"/>
      <c r="CO3" s="127"/>
      <c r="CP3" s="127"/>
      <c r="CQ3" s="127"/>
      <c r="CR3" s="127"/>
      <c r="CS3" s="127"/>
      <c r="CT3" s="127"/>
      <c r="CU3" s="127"/>
      <c r="CV3" s="127"/>
      <c r="CW3" s="127"/>
      <c r="CX3" s="127"/>
      <c r="CY3" s="127"/>
      <c r="CZ3" s="127"/>
      <c r="DA3" s="127"/>
      <c r="DB3" s="127"/>
      <c r="DC3" s="127"/>
      <c r="DD3" s="127"/>
      <c r="DE3" s="127"/>
      <c r="DF3" s="127"/>
      <c r="DG3" s="127"/>
      <c r="DH3" s="127"/>
      <c r="DI3" s="127"/>
      <c r="DJ3" s="127"/>
      <c r="DK3" s="127"/>
      <c r="DL3" s="127"/>
      <c r="DM3" s="127"/>
      <c r="DN3" s="127"/>
      <c r="DO3" s="127"/>
      <c r="DP3" s="127"/>
      <c r="DQ3" s="127"/>
      <c r="DR3" s="127"/>
      <c r="DS3" s="127"/>
      <c r="DT3" s="127"/>
      <c r="DU3" s="127"/>
      <c r="DV3" s="127"/>
      <c r="DW3" s="127"/>
      <c r="DX3" s="127"/>
      <c r="DY3" s="127"/>
      <c r="DZ3" s="127"/>
      <c r="EA3" s="127"/>
      <c r="EB3" s="127"/>
      <c r="EC3" s="127"/>
      <c r="ED3" s="127"/>
      <c r="EE3" s="127"/>
      <c r="EF3" s="127"/>
      <c r="EG3" s="127"/>
      <c r="EH3" s="127"/>
      <c r="EI3" s="127"/>
      <c r="EJ3" s="127"/>
      <c r="EK3" s="127"/>
      <c r="EL3" s="127"/>
      <c r="EM3" s="127"/>
      <c r="EN3" s="127"/>
      <c r="EO3" s="127"/>
      <c r="EP3" s="127"/>
      <c r="EQ3" s="127"/>
      <c r="ER3" s="127"/>
      <c r="ES3" s="127"/>
      <c r="ET3" s="127"/>
      <c r="EU3" s="127"/>
      <c r="EV3" s="127"/>
      <c r="EW3" s="127"/>
      <c r="EX3" s="127"/>
      <c r="EY3" s="127"/>
      <c r="EZ3" s="127"/>
      <c r="FA3" s="127"/>
      <c r="FB3" s="127"/>
      <c r="FC3" s="127"/>
      <c r="FD3" s="127"/>
      <c r="FE3" s="127"/>
      <c r="FF3" s="127"/>
      <c r="FG3" s="127"/>
      <c r="FH3" s="127"/>
      <c r="FI3" s="127"/>
      <c r="FJ3" s="127"/>
      <c r="FK3" s="127"/>
      <c r="FL3" s="127"/>
      <c r="FM3" s="127"/>
      <c r="FN3" s="127"/>
      <c r="FO3" s="127"/>
      <c r="FP3" s="127"/>
      <c r="FQ3" s="127"/>
      <c r="FR3" s="127"/>
      <c r="FS3" s="127"/>
      <c r="FT3" s="127"/>
      <c r="FU3" s="127"/>
      <c r="FV3" s="127"/>
      <c r="FW3" s="127"/>
      <c r="FX3" s="127"/>
      <c r="FY3" s="127"/>
      <c r="FZ3" s="127"/>
      <c r="GA3" s="127"/>
      <c r="GB3" s="127"/>
      <c r="GC3" s="127"/>
      <c r="GD3" s="127"/>
      <c r="GE3" s="127"/>
      <c r="GF3" s="127"/>
      <c r="GG3" s="127"/>
      <c r="GH3" s="127"/>
      <c r="GI3" s="127"/>
      <c r="GJ3" s="127"/>
      <c r="GK3" s="127"/>
      <c r="GL3" s="127"/>
      <c r="GM3" s="127"/>
      <c r="GN3" s="127"/>
      <c r="GO3" s="127"/>
      <c r="GP3" s="127"/>
      <c r="GQ3" s="127"/>
      <c r="GR3" s="127"/>
      <c r="GS3" s="127"/>
      <c r="GT3" s="127"/>
      <c r="GU3" s="127"/>
      <c r="GV3" s="127"/>
      <c r="GW3" s="127"/>
      <c r="GX3" s="127"/>
      <c r="GY3" s="127"/>
      <c r="GZ3" s="127"/>
      <c r="HA3" s="127"/>
      <c r="HB3" s="127"/>
      <c r="HC3" s="127"/>
      <c r="HD3" s="127"/>
      <c r="HE3" s="127"/>
      <c r="HF3" s="127"/>
      <c r="HG3" s="127"/>
      <c r="HH3" s="127"/>
      <c r="HI3" s="127"/>
      <c r="HJ3" s="127"/>
      <c r="HK3" s="127"/>
      <c r="HL3" s="127"/>
      <c r="HM3" s="127"/>
      <c r="HN3" s="127"/>
      <c r="HO3" s="127"/>
      <c r="HP3" s="127"/>
      <c r="HQ3" s="127"/>
      <c r="HR3" s="127"/>
      <c r="HS3" s="127"/>
      <c r="HT3" s="127"/>
      <c r="HU3" s="127"/>
      <c r="HV3" s="127"/>
      <c r="HW3" s="127"/>
      <c r="HX3" s="127"/>
      <c r="HY3" s="127"/>
      <c r="HZ3" s="127"/>
      <c r="IA3" s="127"/>
      <c r="IB3" s="127"/>
      <c r="IC3" s="127"/>
      <c r="ID3" s="127"/>
      <c r="IE3" s="127"/>
      <c r="IF3" s="127"/>
      <c r="IG3" s="127"/>
      <c r="IH3" s="127"/>
      <c r="II3" s="127"/>
      <c r="IJ3" s="127"/>
      <c r="IK3" s="127"/>
      <c r="IL3" s="127"/>
      <c r="IM3" s="127"/>
      <c r="IN3" s="127"/>
    </row>
    <row r="4" s="4" customFormat="1" ht="32.75" customHeight="1" spans="1:9">
      <c r="A4" s="94"/>
      <c r="B4" s="62" t="s">
        <v>783</v>
      </c>
      <c r="C4" s="95" t="s">
        <v>784</v>
      </c>
      <c r="D4" s="96"/>
      <c r="E4" s="97" t="s">
        <v>785</v>
      </c>
      <c r="F4" s="65" t="s">
        <v>786</v>
      </c>
      <c r="G4" s="66">
        <f>H4*1.7</f>
        <v>8434.26666666666</v>
      </c>
      <c r="H4" s="43">
        <v>4961.33333333333</v>
      </c>
      <c r="I4" s="77"/>
    </row>
    <row r="5" s="4" customFormat="1" ht="32.75" customHeight="1" spans="1:9">
      <c r="A5" s="94"/>
      <c r="B5" s="62" t="s">
        <v>787</v>
      </c>
      <c r="C5" s="95" t="s">
        <v>784</v>
      </c>
      <c r="D5" s="96"/>
      <c r="E5" s="97" t="s">
        <v>788</v>
      </c>
      <c r="F5" s="65" t="s">
        <v>647</v>
      </c>
      <c r="G5" s="66">
        <f t="shared" ref="G5:G48" si="0">H5*1.7</f>
        <v>6042.93333333334</v>
      </c>
      <c r="H5" s="43">
        <v>3554.66666666667</v>
      </c>
      <c r="I5" s="77"/>
    </row>
    <row r="6" s="4" customFormat="1" ht="19" customHeight="1" spans="1:9">
      <c r="A6" s="94"/>
      <c r="B6" s="62" t="s">
        <v>789</v>
      </c>
      <c r="C6" s="95" t="s">
        <v>784</v>
      </c>
      <c r="D6" s="96"/>
      <c r="E6" s="98" t="s">
        <v>790</v>
      </c>
      <c r="F6" s="99" t="s">
        <v>429</v>
      </c>
      <c r="G6" s="66">
        <f t="shared" si="0"/>
        <v>7840.4</v>
      </c>
      <c r="H6" s="43">
        <v>4612</v>
      </c>
      <c r="I6" s="77"/>
    </row>
    <row r="7" s="4" customFormat="1" ht="15.75" spans="1:9">
      <c r="A7" s="94"/>
      <c r="B7" s="62" t="s">
        <v>791</v>
      </c>
      <c r="C7" s="95" t="s">
        <v>784</v>
      </c>
      <c r="D7" s="96"/>
      <c r="E7" s="97" t="s">
        <v>792</v>
      </c>
      <c r="F7" s="65" t="s">
        <v>429</v>
      </c>
      <c r="G7" s="66">
        <f t="shared" si="0"/>
        <v>7418.8</v>
      </c>
      <c r="H7" s="43">
        <v>4364</v>
      </c>
      <c r="I7" s="77"/>
    </row>
    <row r="8" ht="15.75" spans="1:8">
      <c r="A8" s="100"/>
      <c r="B8" s="62" t="s">
        <v>793</v>
      </c>
      <c r="C8" s="101" t="s">
        <v>794</v>
      </c>
      <c r="D8" s="100"/>
      <c r="E8" s="102" t="s">
        <v>795</v>
      </c>
      <c r="F8" s="65" t="s">
        <v>640</v>
      </c>
      <c r="G8" s="66">
        <f t="shared" si="0"/>
        <v>6863.46666666666</v>
      </c>
      <c r="H8" s="103">
        <v>4037.33333333333</v>
      </c>
    </row>
    <row r="9" ht="15.75" spans="1:8">
      <c r="A9" s="100"/>
      <c r="B9" s="62" t="s">
        <v>796</v>
      </c>
      <c r="C9" s="101" t="s">
        <v>794</v>
      </c>
      <c r="D9" s="100"/>
      <c r="E9" s="104" t="s">
        <v>797</v>
      </c>
      <c r="F9" s="65" t="s">
        <v>640</v>
      </c>
      <c r="G9" s="66">
        <f t="shared" si="0"/>
        <v>8237.06666666666</v>
      </c>
      <c r="H9" s="103">
        <v>4845.33333333333</v>
      </c>
    </row>
    <row r="10" ht="15.75" spans="1:8">
      <c r="A10" s="100"/>
      <c r="B10" s="105" t="s">
        <v>798</v>
      </c>
      <c r="C10" s="105" t="s">
        <v>799</v>
      </c>
      <c r="D10" s="100"/>
      <c r="E10" s="106" t="s">
        <v>800</v>
      </c>
      <c r="F10" s="107" t="s">
        <v>429</v>
      </c>
      <c r="G10" s="66">
        <f t="shared" si="0"/>
        <v>15719.3333333333</v>
      </c>
      <c r="H10" s="108">
        <v>9246.66666666667</v>
      </c>
    </row>
    <row r="11" ht="15.75" spans="1:8">
      <c r="A11" s="100"/>
      <c r="B11" s="105" t="s">
        <v>801</v>
      </c>
      <c r="C11" s="105" t="s">
        <v>799</v>
      </c>
      <c r="D11" s="100"/>
      <c r="E11" s="106" t="s">
        <v>802</v>
      </c>
      <c r="F11" s="107" t="s">
        <v>429</v>
      </c>
      <c r="G11" s="66">
        <f t="shared" si="0"/>
        <v>16011.7333333333</v>
      </c>
      <c r="H11" s="108">
        <v>9418.66666666667</v>
      </c>
    </row>
    <row r="12" ht="15.75" spans="1:8">
      <c r="A12" s="100"/>
      <c r="B12" s="105" t="s">
        <v>803</v>
      </c>
      <c r="C12" s="105" t="s">
        <v>799</v>
      </c>
      <c r="D12" s="100"/>
      <c r="E12" s="106" t="s">
        <v>804</v>
      </c>
      <c r="F12" s="107" t="s">
        <v>429</v>
      </c>
      <c r="G12" s="66">
        <f t="shared" si="0"/>
        <v>18212.6666666666</v>
      </c>
      <c r="H12" s="108">
        <v>10713.3333333333</v>
      </c>
    </row>
    <row r="13" ht="15.75" spans="1:8">
      <c r="A13" s="100"/>
      <c r="B13" s="105" t="s">
        <v>805</v>
      </c>
      <c r="C13" s="105" t="s">
        <v>799</v>
      </c>
      <c r="D13" s="100"/>
      <c r="E13" s="106" t="s">
        <v>804</v>
      </c>
      <c r="F13" s="107" t="s">
        <v>429</v>
      </c>
      <c r="G13" s="66">
        <f t="shared" si="0"/>
        <v>19504.6666666666</v>
      </c>
      <c r="H13" s="108">
        <v>11473.3333333333</v>
      </c>
    </row>
    <row r="14" ht="15.75" spans="1:8">
      <c r="A14" s="100"/>
      <c r="B14" s="105" t="s">
        <v>806</v>
      </c>
      <c r="C14" s="105" t="s">
        <v>799</v>
      </c>
      <c r="D14" s="100"/>
      <c r="E14" s="106" t="s">
        <v>804</v>
      </c>
      <c r="F14" s="107" t="s">
        <v>429</v>
      </c>
      <c r="G14" s="66">
        <f t="shared" si="0"/>
        <v>13430</v>
      </c>
      <c r="H14" s="108">
        <v>7900</v>
      </c>
    </row>
    <row r="15" ht="15.75" spans="1:8">
      <c r="A15" s="100"/>
      <c r="B15" s="105" t="s">
        <v>807</v>
      </c>
      <c r="C15" s="105" t="s">
        <v>799</v>
      </c>
      <c r="D15" s="100"/>
      <c r="E15" s="106" t="s">
        <v>808</v>
      </c>
      <c r="F15" s="107" t="s">
        <v>429</v>
      </c>
      <c r="G15" s="66">
        <f t="shared" si="0"/>
        <v>18126.5333333334</v>
      </c>
      <c r="H15" s="108">
        <v>10662.6666666667</v>
      </c>
    </row>
    <row r="16" ht="15.75" spans="1:8">
      <c r="A16" s="100"/>
      <c r="B16" s="105" t="s">
        <v>809</v>
      </c>
      <c r="C16" s="105" t="s">
        <v>810</v>
      </c>
      <c r="D16" s="100"/>
      <c r="E16" s="106" t="s">
        <v>811</v>
      </c>
      <c r="F16" s="107" t="s">
        <v>429</v>
      </c>
      <c r="G16" s="66">
        <f t="shared" si="0"/>
        <v>17083.8666666666</v>
      </c>
      <c r="H16" s="108">
        <v>10049.3333333333</v>
      </c>
    </row>
    <row r="17" ht="15.75" spans="1:8">
      <c r="A17" s="100"/>
      <c r="B17" s="105" t="s">
        <v>812</v>
      </c>
      <c r="C17" s="105" t="s">
        <v>813</v>
      </c>
      <c r="D17" s="100"/>
      <c r="E17" s="106" t="s">
        <v>814</v>
      </c>
      <c r="F17" s="107" t="s">
        <v>429</v>
      </c>
      <c r="G17" s="66">
        <f t="shared" si="0"/>
        <v>13683.8666666667</v>
      </c>
      <c r="H17" s="108">
        <v>8049.33333333333</v>
      </c>
    </row>
    <row r="18" ht="15.75" spans="1:8">
      <c r="A18" s="100"/>
      <c r="B18" s="105" t="s">
        <v>815</v>
      </c>
      <c r="C18" s="105" t="s">
        <v>813</v>
      </c>
      <c r="D18" s="100"/>
      <c r="E18" s="106" t="s">
        <v>816</v>
      </c>
      <c r="F18" s="107" t="s">
        <v>429</v>
      </c>
      <c r="G18" s="66">
        <f t="shared" si="0"/>
        <v>16376.6666666667</v>
      </c>
      <c r="H18" s="108">
        <v>9633.33333333333</v>
      </c>
    </row>
    <row r="19" ht="15.75" spans="1:8">
      <c r="A19" s="100"/>
      <c r="B19" s="105" t="s">
        <v>817</v>
      </c>
      <c r="C19" s="105" t="s">
        <v>813</v>
      </c>
      <c r="D19" s="100"/>
      <c r="E19" s="106" t="s">
        <v>816</v>
      </c>
      <c r="F19" s="107" t="s">
        <v>429</v>
      </c>
      <c r="G19" s="66">
        <f t="shared" si="0"/>
        <v>19404.9333333334</v>
      </c>
      <c r="H19" s="108">
        <v>11414.6666666667</v>
      </c>
    </row>
    <row r="20" ht="15.75" spans="1:8">
      <c r="A20" s="100"/>
      <c r="B20" s="105" t="s">
        <v>818</v>
      </c>
      <c r="C20" s="109" t="s">
        <v>819</v>
      </c>
      <c r="D20" s="100"/>
      <c r="E20" s="106" t="s">
        <v>820</v>
      </c>
      <c r="F20" s="107" t="s">
        <v>429</v>
      </c>
      <c r="G20" s="66">
        <f t="shared" si="0"/>
        <v>12555.0666666667</v>
      </c>
      <c r="H20" s="108">
        <v>7385.33333333333</v>
      </c>
    </row>
    <row r="21" ht="25.5" spans="1:8">
      <c r="A21" s="100"/>
      <c r="B21" s="105" t="s">
        <v>821</v>
      </c>
      <c r="C21" s="110" t="s">
        <v>822</v>
      </c>
      <c r="D21" s="100"/>
      <c r="E21" s="106" t="s">
        <v>820</v>
      </c>
      <c r="F21" s="107" t="s">
        <v>429</v>
      </c>
      <c r="G21" s="66">
        <f t="shared" si="0"/>
        <v>15256.9333333333</v>
      </c>
      <c r="H21" s="108">
        <v>8974.66666666667</v>
      </c>
    </row>
    <row r="22" ht="15.75" spans="1:8">
      <c r="A22" s="100"/>
      <c r="B22" s="105" t="s">
        <v>823</v>
      </c>
      <c r="C22" s="105" t="s">
        <v>824</v>
      </c>
      <c r="D22" s="100"/>
      <c r="E22" s="106" t="s">
        <v>825</v>
      </c>
      <c r="F22" s="107" t="s">
        <v>429</v>
      </c>
      <c r="G22" s="66">
        <f t="shared" si="0"/>
        <v>21458.5333333334</v>
      </c>
      <c r="H22" s="108">
        <v>12622.6666666667</v>
      </c>
    </row>
    <row r="23" ht="15.75" spans="1:8">
      <c r="A23" s="100"/>
      <c r="B23" s="105" t="s">
        <v>826</v>
      </c>
      <c r="C23" s="105" t="s">
        <v>827</v>
      </c>
      <c r="D23" s="100"/>
      <c r="E23" s="106" t="s">
        <v>828</v>
      </c>
      <c r="F23" s="107" t="s">
        <v>429</v>
      </c>
      <c r="G23" s="66">
        <f t="shared" si="0"/>
        <v>21497.0666666666</v>
      </c>
      <c r="H23" s="108">
        <v>12645.3333333333</v>
      </c>
    </row>
    <row r="24" ht="15.75" spans="1:8">
      <c r="A24" s="100"/>
      <c r="B24" s="105" t="s">
        <v>829</v>
      </c>
      <c r="C24" s="105" t="s">
        <v>824</v>
      </c>
      <c r="D24" s="100"/>
      <c r="E24" s="106" t="s">
        <v>825</v>
      </c>
      <c r="F24" s="107" t="s">
        <v>429</v>
      </c>
      <c r="G24" s="66">
        <f t="shared" si="0"/>
        <v>21596.8</v>
      </c>
      <c r="H24" s="108">
        <v>12704</v>
      </c>
    </row>
    <row r="25" ht="15.75" spans="1:8">
      <c r="A25" s="100"/>
      <c r="B25" s="105" t="s">
        <v>830</v>
      </c>
      <c r="C25" s="105" t="s">
        <v>827</v>
      </c>
      <c r="D25" s="100"/>
      <c r="E25" s="106" t="s">
        <v>828</v>
      </c>
      <c r="F25" s="107" t="s">
        <v>429</v>
      </c>
      <c r="G25" s="66">
        <f t="shared" si="0"/>
        <v>22709.7333333334</v>
      </c>
      <c r="H25" s="108">
        <v>13358.6666666667</v>
      </c>
    </row>
    <row r="26" ht="15.75" spans="1:8">
      <c r="A26" s="100"/>
      <c r="B26" s="105" t="s">
        <v>831</v>
      </c>
      <c r="C26" s="105" t="s">
        <v>832</v>
      </c>
      <c r="D26" s="100"/>
      <c r="E26" s="106" t="s">
        <v>833</v>
      </c>
      <c r="F26" s="107" t="s">
        <v>429</v>
      </c>
      <c r="G26" s="66">
        <f t="shared" si="0"/>
        <v>26046.2666666666</v>
      </c>
      <c r="H26" s="111">
        <v>15321.3333333333</v>
      </c>
    </row>
    <row r="27" ht="15.75" spans="1:8">
      <c r="A27" s="100"/>
      <c r="B27" s="105" t="s">
        <v>834</v>
      </c>
      <c r="C27" s="109" t="s">
        <v>835</v>
      </c>
      <c r="D27" s="100"/>
      <c r="E27" s="106" t="s">
        <v>836</v>
      </c>
      <c r="F27" s="107" t="s">
        <v>429</v>
      </c>
      <c r="G27" s="66">
        <f t="shared" si="0"/>
        <v>23219.7333333334</v>
      </c>
      <c r="H27" s="108">
        <v>13658.6666666667</v>
      </c>
    </row>
    <row r="28" ht="15.75" spans="1:8">
      <c r="A28" s="100"/>
      <c r="B28" s="105" t="s">
        <v>837</v>
      </c>
      <c r="C28" s="105" t="s">
        <v>838</v>
      </c>
      <c r="D28" s="100"/>
      <c r="E28" s="106" t="s">
        <v>839</v>
      </c>
      <c r="F28" s="107" t="s">
        <v>429</v>
      </c>
      <c r="G28" s="66">
        <f t="shared" si="0"/>
        <v>14780.9333333333</v>
      </c>
      <c r="H28" s="108">
        <v>8694.66666666667</v>
      </c>
    </row>
    <row r="29" ht="15.75" spans="1:8">
      <c r="A29" s="100"/>
      <c r="B29" s="105" t="s">
        <v>840</v>
      </c>
      <c r="C29" s="105" t="s">
        <v>838</v>
      </c>
      <c r="D29" s="100"/>
      <c r="E29" s="106" t="s">
        <v>841</v>
      </c>
      <c r="F29" s="107" t="s">
        <v>429</v>
      </c>
      <c r="G29" s="66">
        <f t="shared" si="0"/>
        <v>19538.6666666666</v>
      </c>
      <c r="H29" s="108">
        <v>11493.3333333333</v>
      </c>
    </row>
    <row r="30" ht="15.75" spans="1:8">
      <c r="A30" s="100"/>
      <c r="B30" s="105" t="s">
        <v>842</v>
      </c>
      <c r="C30" s="105" t="s">
        <v>794</v>
      </c>
      <c r="D30" s="100"/>
      <c r="E30" s="106" t="s">
        <v>843</v>
      </c>
      <c r="F30" s="107" t="s">
        <v>429</v>
      </c>
      <c r="G30" s="66">
        <f t="shared" si="0"/>
        <v>15664.9333333333</v>
      </c>
      <c r="H30" s="108">
        <v>9214.66666666667</v>
      </c>
    </row>
    <row r="31" ht="15.75" spans="1:8">
      <c r="A31" s="100"/>
      <c r="B31" s="105" t="s">
        <v>844</v>
      </c>
      <c r="C31" s="105" t="s">
        <v>794</v>
      </c>
      <c r="D31" s="100"/>
      <c r="E31" s="106" t="s">
        <v>845</v>
      </c>
      <c r="F31" s="107" t="s">
        <v>429</v>
      </c>
      <c r="G31" s="66">
        <f t="shared" si="0"/>
        <v>10435.7333333333</v>
      </c>
      <c r="H31" s="108">
        <v>6138.66666666667</v>
      </c>
    </row>
    <row r="32" ht="15.75" spans="1:8">
      <c r="A32" s="100"/>
      <c r="B32" s="105" t="s">
        <v>846</v>
      </c>
      <c r="C32" s="105" t="s">
        <v>794</v>
      </c>
      <c r="D32" s="100"/>
      <c r="E32" s="106" t="s">
        <v>847</v>
      </c>
      <c r="F32" s="107" t="s">
        <v>429</v>
      </c>
      <c r="G32" s="66">
        <f t="shared" si="0"/>
        <v>15334</v>
      </c>
      <c r="H32" s="108">
        <v>9020</v>
      </c>
    </row>
    <row r="33" ht="15.75" spans="1:8">
      <c r="A33" s="100"/>
      <c r="B33" s="105" t="s">
        <v>848</v>
      </c>
      <c r="C33" s="105" t="s">
        <v>794</v>
      </c>
      <c r="D33" s="100"/>
      <c r="E33" s="106" t="s">
        <v>849</v>
      </c>
      <c r="F33" s="107" t="s">
        <v>429</v>
      </c>
      <c r="G33" s="66">
        <f t="shared" si="0"/>
        <v>9325.06666666666</v>
      </c>
      <c r="H33" s="108">
        <v>5485.33333333333</v>
      </c>
    </row>
    <row r="34" ht="15.75" spans="1:8">
      <c r="A34" s="100"/>
      <c r="B34" s="105" t="s">
        <v>850</v>
      </c>
      <c r="C34" s="105" t="s">
        <v>794</v>
      </c>
      <c r="D34" s="100"/>
      <c r="E34" s="106" t="s">
        <v>851</v>
      </c>
      <c r="F34" s="107" t="s">
        <v>429</v>
      </c>
      <c r="G34" s="66">
        <f t="shared" si="0"/>
        <v>7795.06666666666</v>
      </c>
      <c r="H34" s="108">
        <v>4585.33333333333</v>
      </c>
    </row>
    <row r="35" ht="15.75" spans="1:8">
      <c r="A35" s="100"/>
      <c r="B35" s="105" t="s">
        <v>852</v>
      </c>
      <c r="C35" s="105" t="s">
        <v>794</v>
      </c>
      <c r="D35" s="100"/>
      <c r="E35" s="106" t="s">
        <v>853</v>
      </c>
      <c r="F35" s="107" t="s">
        <v>429</v>
      </c>
      <c r="G35" s="66">
        <f t="shared" si="0"/>
        <v>7350.8</v>
      </c>
      <c r="H35" s="108">
        <v>4324</v>
      </c>
    </row>
    <row r="36" ht="25.5" spans="1:8">
      <c r="A36" s="100"/>
      <c r="B36" s="112" t="s">
        <v>854</v>
      </c>
      <c r="C36" s="113" t="s">
        <v>855</v>
      </c>
      <c r="D36" s="100"/>
      <c r="E36" s="114" t="s">
        <v>856</v>
      </c>
      <c r="F36" s="115" t="s">
        <v>857</v>
      </c>
      <c r="G36" s="66">
        <f t="shared" si="0"/>
        <v>10390.4</v>
      </c>
      <c r="H36" s="116">
        <v>6112</v>
      </c>
    </row>
    <row r="37" ht="25.5" spans="1:8">
      <c r="A37" s="100"/>
      <c r="B37" s="112" t="s">
        <v>858</v>
      </c>
      <c r="C37" s="113" t="s">
        <v>855</v>
      </c>
      <c r="D37" s="100"/>
      <c r="E37" s="114" t="s">
        <v>859</v>
      </c>
      <c r="F37" s="115" t="s">
        <v>857</v>
      </c>
      <c r="G37" s="66">
        <f t="shared" si="0"/>
        <v>10390.4</v>
      </c>
      <c r="H37" s="116">
        <v>6112</v>
      </c>
    </row>
    <row r="38" ht="25.5" spans="1:8">
      <c r="A38" s="100"/>
      <c r="B38" s="112" t="s">
        <v>860</v>
      </c>
      <c r="C38" s="113" t="s">
        <v>855</v>
      </c>
      <c r="D38" s="100"/>
      <c r="E38" s="114" t="s">
        <v>861</v>
      </c>
      <c r="F38" s="115" t="s">
        <v>857</v>
      </c>
      <c r="G38" s="66">
        <f t="shared" si="0"/>
        <v>10390.4</v>
      </c>
      <c r="H38" s="116">
        <v>6112</v>
      </c>
    </row>
    <row r="39" ht="25.5" spans="1:8">
      <c r="A39" s="100"/>
      <c r="B39" s="117" t="s">
        <v>862</v>
      </c>
      <c r="C39" s="113" t="s">
        <v>855</v>
      </c>
      <c r="D39" s="100"/>
      <c r="E39" s="114" t="s">
        <v>863</v>
      </c>
      <c r="F39" s="115" t="s">
        <v>864</v>
      </c>
      <c r="G39" s="66">
        <f t="shared" si="0"/>
        <v>10390.4</v>
      </c>
      <c r="H39" s="116">
        <v>6112</v>
      </c>
    </row>
    <row r="40" ht="15.75" spans="1:8">
      <c r="A40" s="100"/>
      <c r="B40" s="62" t="s">
        <v>783</v>
      </c>
      <c r="C40" s="95" t="s">
        <v>784</v>
      </c>
      <c r="D40" s="100"/>
      <c r="E40" s="97" t="s">
        <v>785</v>
      </c>
      <c r="F40" s="65" t="s">
        <v>786</v>
      </c>
      <c r="G40" s="66">
        <f t="shared" si="0"/>
        <v>8434.26666666666</v>
      </c>
      <c r="H40" s="43">
        <v>4961.33333333333</v>
      </c>
    </row>
    <row r="41" ht="15.75" spans="1:8">
      <c r="A41" s="100"/>
      <c r="B41" s="62" t="s">
        <v>787</v>
      </c>
      <c r="C41" s="95" t="s">
        <v>784</v>
      </c>
      <c r="D41" s="100"/>
      <c r="E41" s="97" t="s">
        <v>788</v>
      </c>
      <c r="F41" s="65" t="s">
        <v>647</v>
      </c>
      <c r="G41" s="66">
        <f t="shared" si="0"/>
        <v>6042.93333333334</v>
      </c>
      <c r="H41" s="43">
        <v>3554.66666666667</v>
      </c>
    </row>
    <row r="42" ht="15.75" spans="1:8">
      <c r="A42" s="100"/>
      <c r="B42" s="62" t="s">
        <v>789</v>
      </c>
      <c r="C42" s="95" t="s">
        <v>784</v>
      </c>
      <c r="D42" s="100"/>
      <c r="E42" s="98" t="s">
        <v>790</v>
      </c>
      <c r="F42" s="99" t="s">
        <v>429</v>
      </c>
      <c r="G42" s="66">
        <f t="shared" si="0"/>
        <v>7840.4</v>
      </c>
      <c r="H42" s="43">
        <v>4612</v>
      </c>
    </row>
    <row r="43" ht="15.75" spans="1:8">
      <c r="A43" s="100"/>
      <c r="B43" s="62" t="s">
        <v>791</v>
      </c>
      <c r="C43" s="95" t="s">
        <v>784</v>
      </c>
      <c r="D43" s="100"/>
      <c r="E43" s="97" t="s">
        <v>792</v>
      </c>
      <c r="F43" s="65" t="s">
        <v>429</v>
      </c>
      <c r="G43" s="66">
        <f t="shared" si="0"/>
        <v>7418.8</v>
      </c>
      <c r="H43" s="43">
        <v>4364</v>
      </c>
    </row>
    <row r="44" ht="15.75" spans="1:8">
      <c r="A44" s="100"/>
      <c r="B44" s="62" t="s">
        <v>793</v>
      </c>
      <c r="C44" s="101" t="s">
        <v>794</v>
      </c>
      <c r="D44" s="100"/>
      <c r="E44" s="102" t="s">
        <v>795</v>
      </c>
      <c r="F44" s="65" t="s">
        <v>640</v>
      </c>
      <c r="G44" s="66">
        <f t="shared" si="0"/>
        <v>6863.46666666666</v>
      </c>
      <c r="H44" s="103">
        <v>4037.33333333333</v>
      </c>
    </row>
    <row r="45" ht="15.75" spans="1:8">
      <c r="A45" s="100"/>
      <c r="B45" s="62" t="s">
        <v>796</v>
      </c>
      <c r="C45" s="101" t="s">
        <v>794</v>
      </c>
      <c r="D45" s="100"/>
      <c r="E45" s="104" t="s">
        <v>797</v>
      </c>
      <c r="F45" s="65" t="s">
        <v>640</v>
      </c>
      <c r="G45" s="66">
        <f t="shared" si="0"/>
        <v>8237.06666666666</v>
      </c>
      <c r="H45" s="103">
        <v>4845.33333333333</v>
      </c>
    </row>
    <row r="46" ht="15.75" spans="1:8">
      <c r="A46" s="100"/>
      <c r="B46" s="62" t="s">
        <v>865</v>
      </c>
      <c r="C46" s="118" t="s">
        <v>866</v>
      </c>
      <c r="D46" s="100"/>
      <c r="E46" s="119" t="s">
        <v>867</v>
      </c>
      <c r="F46" s="65" t="s">
        <v>857</v>
      </c>
      <c r="G46" s="66">
        <f t="shared" si="0"/>
        <v>7536.66666666666</v>
      </c>
      <c r="H46" s="120">
        <v>4433.33333333333</v>
      </c>
    </row>
    <row r="47" ht="15.75" spans="1:8">
      <c r="A47" s="100"/>
      <c r="B47" s="105" t="s">
        <v>868</v>
      </c>
      <c r="C47" s="105" t="s">
        <v>869</v>
      </c>
      <c r="D47" s="100"/>
      <c r="E47" s="106" t="s">
        <v>870</v>
      </c>
      <c r="F47" s="107" t="s">
        <v>429</v>
      </c>
      <c r="G47" s="66">
        <f t="shared" si="0"/>
        <v>31352.5333333334</v>
      </c>
      <c r="H47" s="108">
        <v>18442.6666666667</v>
      </c>
    </row>
    <row r="48" ht="15.75" spans="1:8">
      <c r="A48" s="100"/>
      <c r="B48" s="105" t="s">
        <v>871</v>
      </c>
      <c r="C48" s="105" t="s">
        <v>869</v>
      </c>
      <c r="D48" s="100"/>
      <c r="E48" s="106" t="s">
        <v>872</v>
      </c>
      <c r="F48" s="107" t="s">
        <v>647</v>
      </c>
      <c r="G48" s="66">
        <f t="shared" si="0"/>
        <v>22555.6</v>
      </c>
      <c r="H48" s="121">
        <v>13268</v>
      </c>
    </row>
    <row r="49" spans="1:8">
      <c r="A49" s="100"/>
      <c r="B49" s="100"/>
      <c r="C49" s="122"/>
      <c r="D49" s="100"/>
      <c r="E49" s="123"/>
      <c r="F49" s="123"/>
      <c r="G49" s="124"/>
      <c r="H49" s="124"/>
    </row>
  </sheetData>
  <mergeCells count="1">
    <mergeCell ref="A1:H1"/>
  </mergeCells>
  <pageMargins left="0.75" right="0.75" top="1" bottom="1" header="0.5" footer="0.5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abSelected="1" workbookViewId="0">
      <selection activeCell="D10" sqref="D10"/>
    </sheetView>
  </sheetViews>
  <sheetFormatPr defaultColWidth="10.2857142857143" defaultRowHeight="15.75"/>
  <cols>
    <col min="1" max="1" width="10.2857142857143" style="31"/>
    <col min="2" max="2" width="18.1428571428571" style="31" customWidth="1"/>
    <col min="3" max="3" width="27.1428571428571" style="31" customWidth="1"/>
    <col min="4" max="4" width="13.8571428571429" style="31" customWidth="1"/>
    <col min="5" max="5" width="33.2857142857143" style="31" customWidth="1"/>
    <col min="6" max="6" width="14.8571428571429" style="31" customWidth="1"/>
    <col min="7" max="8" width="11.4285714285714" style="33" customWidth="1"/>
    <col min="9" max="9" width="16.8571428571429" style="31" customWidth="1"/>
    <col min="10" max="16384" width="10.2857142857143" style="31"/>
  </cols>
  <sheetData>
    <row r="1" s="31" customFormat="1" ht="30" spans="1:9">
      <c r="A1" s="34" t="s">
        <v>873</v>
      </c>
      <c r="B1" s="34"/>
      <c r="C1" s="34"/>
      <c r="D1" s="34"/>
      <c r="E1" s="34"/>
      <c r="F1" s="34"/>
      <c r="G1" s="35"/>
      <c r="H1" s="35"/>
      <c r="I1" s="34"/>
    </row>
    <row r="2" s="31" customFormat="1" spans="1:9">
      <c r="A2" s="36"/>
      <c r="B2" s="37"/>
      <c r="C2" s="37"/>
      <c r="D2" s="37"/>
      <c r="E2" s="37"/>
      <c r="F2" s="37"/>
      <c r="G2" s="38"/>
      <c r="H2" s="38"/>
      <c r="I2" s="37"/>
    </row>
    <row r="3" s="32" customFormat="1" ht="24" customHeight="1" spans="1:9">
      <c r="A3" s="39" t="s">
        <v>1</v>
      </c>
      <c r="B3" s="39" t="s">
        <v>2</v>
      </c>
      <c r="C3" s="39" t="s">
        <v>3</v>
      </c>
      <c r="D3" s="39" t="s">
        <v>4</v>
      </c>
      <c r="E3" s="39" t="s">
        <v>5</v>
      </c>
      <c r="F3" s="39" t="s">
        <v>6</v>
      </c>
      <c r="G3" s="39" t="s">
        <v>7</v>
      </c>
      <c r="H3" s="39" t="s">
        <v>8</v>
      </c>
      <c r="I3" s="39" t="s">
        <v>9</v>
      </c>
    </row>
    <row r="4" s="31" customFormat="1" spans="1:9">
      <c r="A4" s="40">
        <v>1</v>
      </c>
      <c r="B4" s="20" t="s">
        <v>739</v>
      </c>
      <c r="C4" s="20" t="s">
        <v>682</v>
      </c>
      <c r="E4" s="41" t="s">
        <v>874</v>
      </c>
      <c r="F4" s="41" t="s">
        <v>875</v>
      </c>
      <c r="G4" s="42">
        <f>H4*1.7</f>
        <v>8481.3</v>
      </c>
      <c r="H4" s="43">
        <v>4989</v>
      </c>
      <c r="I4" s="70"/>
    </row>
    <row r="5" s="31" customFormat="1" ht="31.5" spans="1:9">
      <c r="A5" s="40">
        <v>2</v>
      </c>
      <c r="B5" s="20" t="s">
        <v>742</v>
      </c>
      <c r="C5" s="20" t="s">
        <v>682</v>
      </c>
      <c r="E5" s="41" t="s">
        <v>876</v>
      </c>
      <c r="F5" s="41" t="s">
        <v>744</v>
      </c>
      <c r="G5" s="42">
        <f t="shared" ref="G5:G16" si="0">H5*1.7</f>
        <v>5419.6</v>
      </c>
      <c r="H5" s="43">
        <v>3188</v>
      </c>
      <c r="I5" s="70"/>
    </row>
    <row r="6" s="31" customFormat="1" spans="1:9">
      <c r="A6" s="40">
        <v>3</v>
      </c>
      <c r="B6" s="20" t="s">
        <v>745</v>
      </c>
      <c r="C6" s="20" t="s">
        <v>682</v>
      </c>
      <c r="E6" s="41" t="s">
        <v>877</v>
      </c>
      <c r="F6" s="41" t="s">
        <v>747</v>
      </c>
      <c r="G6" s="42">
        <f t="shared" si="0"/>
        <v>7984.9</v>
      </c>
      <c r="H6" s="43">
        <v>4697</v>
      </c>
      <c r="I6" s="70"/>
    </row>
    <row r="7" s="31" customFormat="1" ht="28.5" spans="1:10">
      <c r="A7" s="44">
        <v>4</v>
      </c>
      <c r="B7" s="45" t="s">
        <v>757</v>
      </c>
      <c r="C7" s="45" t="s">
        <v>682</v>
      </c>
      <c r="D7" s="46"/>
      <c r="E7" s="47" t="s">
        <v>758</v>
      </c>
      <c r="F7" s="48" t="s">
        <v>759</v>
      </c>
      <c r="G7" s="49">
        <f t="shared" si="0"/>
        <v>7648.3</v>
      </c>
      <c r="H7" s="50">
        <v>4499</v>
      </c>
      <c r="I7" s="70"/>
      <c r="J7" s="46"/>
    </row>
    <row r="8" s="31" customFormat="1" ht="28.5" spans="1:10">
      <c r="A8" s="44">
        <v>5</v>
      </c>
      <c r="B8" s="51" t="s">
        <v>760</v>
      </c>
      <c r="C8" s="52" t="s">
        <v>682</v>
      </c>
      <c r="D8" s="46"/>
      <c r="E8" s="47" t="s">
        <v>761</v>
      </c>
      <c r="F8" s="48" t="s">
        <v>759</v>
      </c>
      <c r="G8" s="49">
        <f t="shared" si="0"/>
        <v>7075.4</v>
      </c>
      <c r="H8" s="50">
        <v>4162</v>
      </c>
      <c r="I8" s="70"/>
      <c r="J8" s="46"/>
    </row>
    <row r="9" s="31" customFormat="1" ht="28.5" spans="1:10">
      <c r="A9" s="44">
        <v>6</v>
      </c>
      <c r="B9" s="51" t="s">
        <v>762</v>
      </c>
      <c r="C9" s="52" t="s">
        <v>682</v>
      </c>
      <c r="D9" s="46"/>
      <c r="E9" s="47" t="s">
        <v>763</v>
      </c>
      <c r="F9" s="48" t="s">
        <v>764</v>
      </c>
      <c r="G9" s="49">
        <f t="shared" si="0"/>
        <v>6303.6</v>
      </c>
      <c r="H9" s="50">
        <v>3708</v>
      </c>
      <c r="I9" s="70"/>
      <c r="J9" s="46"/>
    </row>
    <row r="10" s="31" customFormat="1" ht="28.5" spans="1:10">
      <c r="A10" s="53">
        <v>7</v>
      </c>
      <c r="B10" s="51" t="s">
        <v>765</v>
      </c>
      <c r="C10" s="52" t="s">
        <v>682</v>
      </c>
      <c r="D10" s="46"/>
      <c r="E10" s="47" t="s">
        <v>763</v>
      </c>
      <c r="F10" s="48" t="s">
        <v>766</v>
      </c>
      <c r="G10" s="49">
        <f t="shared" si="0"/>
        <v>7437.5</v>
      </c>
      <c r="H10" s="50">
        <v>4375</v>
      </c>
      <c r="I10" s="70"/>
      <c r="J10" s="46"/>
    </row>
    <row r="11" s="31" customFormat="1" ht="28.5" spans="1:10">
      <c r="A11" s="44">
        <v>8</v>
      </c>
      <c r="B11" s="51" t="s">
        <v>767</v>
      </c>
      <c r="C11" s="52" t="s">
        <v>682</v>
      </c>
      <c r="D11" s="46"/>
      <c r="E11" s="47" t="s">
        <v>761</v>
      </c>
      <c r="F11" s="48" t="s">
        <v>768</v>
      </c>
      <c r="G11" s="49">
        <f t="shared" si="0"/>
        <v>10886.8</v>
      </c>
      <c r="H11" s="50">
        <v>6404</v>
      </c>
      <c r="I11" s="70"/>
      <c r="J11" s="46"/>
    </row>
    <row r="12" s="31" customFormat="1" ht="28.5" spans="1:10">
      <c r="A12" s="53">
        <v>9</v>
      </c>
      <c r="B12" s="51" t="s">
        <v>769</v>
      </c>
      <c r="C12" s="52" t="s">
        <v>682</v>
      </c>
      <c r="D12" s="46"/>
      <c r="E12" s="47" t="s">
        <v>770</v>
      </c>
      <c r="F12" s="48" t="s">
        <v>768</v>
      </c>
      <c r="G12" s="49">
        <f t="shared" si="0"/>
        <v>7661.9</v>
      </c>
      <c r="H12" s="50">
        <v>4507</v>
      </c>
      <c r="I12" s="57"/>
      <c r="J12" s="46"/>
    </row>
    <row r="13" s="31" customFormat="1" spans="1:10">
      <c r="A13" s="53">
        <v>10</v>
      </c>
      <c r="B13" s="51" t="s">
        <v>771</v>
      </c>
      <c r="C13" s="52" t="s">
        <v>682</v>
      </c>
      <c r="D13" s="46"/>
      <c r="E13" s="47" t="s">
        <v>773</v>
      </c>
      <c r="F13" s="48" t="s">
        <v>579</v>
      </c>
      <c r="G13" s="49">
        <f t="shared" si="0"/>
        <v>5859.9</v>
      </c>
      <c r="H13" s="50">
        <v>3447</v>
      </c>
      <c r="I13" s="57"/>
      <c r="J13" s="46"/>
    </row>
    <row r="14" s="31" customFormat="1" ht="28.5" spans="1:10">
      <c r="A14" s="53">
        <v>11</v>
      </c>
      <c r="B14" s="51" t="s">
        <v>774</v>
      </c>
      <c r="C14" s="52" t="s">
        <v>878</v>
      </c>
      <c r="D14" s="46"/>
      <c r="E14" s="47" t="s">
        <v>775</v>
      </c>
      <c r="F14" s="48" t="s">
        <v>764</v>
      </c>
      <c r="G14" s="49">
        <f t="shared" si="0"/>
        <v>8950.5</v>
      </c>
      <c r="H14" s="50">
        <v>5265</v>
      </c>
      <c r="I14" s="57"/>
      <c r="J14" s="46"/>
    </row>
    <row r="15" s="31" customFormat="1" ht="28.5" spans="1:10">
      <c r="A15" s="53">
        <v>12</v>
      </c>
      <c r="B15" s="51" t="s">
        <v>777</v>
      </c>
      <c r="C15" s="52" t="s">
        <v>682</v>
      </c>
      <c r="D15" s="46"/>
      <c r="E15" s="47" t="s">
        <v>778</v>
      </c>
      <c r="F15" s="48" t="s">
        <v>766</v>
      </c>
      <c r="G15" s="49">
        <f t="shared" si="0"/>
        <v>8908</v>
      </c>
      <c r="H15" s="50">
        <v>5240</v>
      </c>
      <c r="I15" s="57"/>
      <c r="J15" s="46"/>
    </row>
    <row r="16" s="31" customFormat="1" ht="28.5" spans="1:10">
      <c r="A16" s="44">
        <v>13</v>
      </c>
      <c r="B16" s="51" t="s">
        <v>779</v>
      </c>
      <c r="C16" s="52" t="s">
        <v>682</v>
      </c>
      <c r="D16" s="46"/>
      <c r="E16" s="47" t="s">
        <v>780</v>
      </c>
      <c r="F16" s="48" t="s">
        <v>781</v>
      </c>
      <c r="G16" s="49">
        <f t="shared" si="0"/>
        <v>15291.5</v>
      </c>
      <c r="H16" s="50">
        <v>8995</v>
      </c>
      <c r="I16" s="57"/>
      <c r="J16" s="46"/>
    </row>
    <row r="17" s="31" customFormat="1" spans="1:10">
      <c r="A17" s="54"/>
      <c r="B17" s="55"/>
      <c r="C17" s="56"/>
      <c r="D17" s="46"/>
      <c r="E17" s="57"/>
      <c r="F17" s="58"/>
      <c r="G17" s="59"/>
      <c r="H17" s="59"/>
      <c r="I17" s="57"/>
      <c r="J17" s="46"/>
    </row>
    <row r="18" s="31" customFormat="1" spans="1:10">
      <c r="A18" s="54"/>
      <c r="B18" s="55"/>
      <c r="C18" s="56"/>
      <c r="D18" s="46"/>
      <c r="E18" s="57"/>
      <c r="F18" s="58"/>
      <c r="G18" s="59"/>
      <c r="H18" s="59"/>
      <c r="I18" s="57"/>
      <c r="J18" s="46"/>
    </row>
    <row r="19" s="31" customFormat="1" spans="1:10">
      <c r="A19" s="54"/>
      <c r="B19" s="55"/>
      <c r="C19" s="56"/>
      <c r="D19" s="46"/>
      <c r="E19" s="57"/>
      <c r="F19" s="58"/>
      <c r="G19" s="59"/>
      <c r="H19" s="59"/>
      <c r="I19" s="57"/>
      <c r="J19" s="46"/>
    </row>
    <row r="20" s="31" customFormat="1" spans="1:10">
      <c r="A20" s="54"/>
      <c r="B20" s="55"/>
      <c r="C20" s="56"/>
      <c r="D20" s="46"/>
      <c r="E20" s="57"/>
      <c r="F20" s="60"/>
      <c r="G20" s="59"/>
      <c r="H20" s="59"/>
      <c r="I20" s="57"/>
      <c r="J20" s="46"/>
    </row>
    <row r="21" s="31" customFormat="1" spans="1:10">
      <c r="A21" s="54"/>
      <c r="B21" s="55"/>
      <c r="C21" s="56"/>
      <c r="D21" s="46"/>
      <c r="E21" s="57"/>
      <c r="F21" s="58"/>
      <c r="G21" s="59"/>
      <c r="H21" s="59"/>
      <c r="I21" s="71"/>
      <c r="J21" s="46"/>
    </row>
    <row r="22" s="31" customFormat="1" spans="1:9">
      <c r="A22" s="61"/>
      <c r="B22" s="62"/>
      <c r="C22" s="63"/>
      <c r="E22" s="64"/>
      <c r="F22" s="65"/>
      <c r="G22" s="66"/>
      <c r="H22" s="66"/>
      <c r="I22" s="72"/>
    </row>
    <row r="23" s="31" customFormat="1" spans="1:9">
      <c r="A23" s="61"/>
      <c r="B23" s="62"/>
      <c r="C23" s="63"/>
      <c r="E23" s="64"/>
      <c r="F23" s="65"/>
      <c r="G23" s="66"/>
      <c r="H23" s="66"/>
      <c r="I23" s="72"/>
    </row>
    <row r="24" s="31" customFormat="1" spans="1:9">
      <c r="A24" s="61"/>
      <c r="B24" s="62"/>
      <c r="C24" s="63"/>
      <c r="E24" s="64"/>
      <c r="F24" s="65"/>
      <c r="G24" s="66"/>
      <c r="H24" s="66"/>
      <c r="I24" s="72"/>
    </row>
    <row r="25" s="31" customFormat="1" spans="1:9">
      <c r="A25" s="61"/>
      <c r="B25" s="62"/>
      <c r="C25" s="63"/>
      <c r="E25" s="64"/>
      <c r="F25" s="65"/>
      <c r="G25" s="66"/>
      <c r="H25" s="66"/>
      <c r="I25" s="72"/>
    </row>
    <row r="26" s="31" customFormat="1" spans="1:9">
      <c r="A26" s="61"/>
      <c r="B26" s="62"/>
      <c r="C26" s="63"/>
      <c r="E26" s="64"/>
      <c r="F26" s="67"/>
      <c r="G26" s="66"/>
      <c r="H26" s="66"/>
      <c r="I26" s="72"/>
    </row>
    <row r="27" s="31" customFormat="1" ht="16" customHeight="1" spans="1:9">
      <c r="A27" s="61"/>
      <c r="B27" s="62"/>
      <c r="C27" s="63"/>
      <c r="E27" s="64"/>
      <c r="F27" s="67"/>
      <c r="G27" s="66"/>
      <c r="H27" s="66"/>
      <c r="I27" s="64"/>
    </row>
    <row r="28" s="31" customFormat="1" spans="1:9">
      <c r="A28" s="61"/>
      <c r="B28" s="62"/>
      <c r="C28" s="63"/>
      <c r="E28" s="64"/>
      <c r="F28" s="67"/>
      <c r="G28" s="66"/>
      <c r="H28" s="66"/>
      <c r="I28" s="64"/>
    </row>
    <row r="29" spans="1:9">
      <c r="A29" s="61"/>
      <c r="B29" s="62"/>
      <c r="C29" s="63"/>
      <c r="E29" s="64"/>
      <c r="F29" s="67"/>
      <c r="G29" s="66"/>
      <c r="H29" s="66"/>
      <c r="I29" s="68"/>
    </row>
    <row r="30" spans="1:9">
      <c r="A30" s="61"/>
      <c r="B30" s="62"/>
      <c r="C30" s="63"/>
      <c r="E30" s="64"/>
      <c r="F30" s="67"/>
      <c r="G30" s="66"/>
      <c r="H30" s="66"/>
      <c r="I30" s="68"/>
    </row>
    <row r="31" spans="1:9">
      <c r="A31" s="61"/>
      <c r="B31" s="62"/>
      <c r="C31" s="63"/>
      <c r="E31" s="64"/>
      <c r="F31" s="67"/>
      <c r="G31" s="66"/>
      <c r="H31" s="66"/>
      <c r="I31" s="68"/>
    </row>
    <row r="32" spans="1:9">
      <c r="A32" s="63"/>
      <c r="B32" s="62"/>
      <c r="C32" s="61"/>
      <c r="E32" s="64"/>
      <c r="F32" s="67"/>
      <c r="G32" s="66"/>
      <c r="H32" s="66"/>
      <c r="I32" s="68"/>
    </row>
    <row r="33" spans="1:9">
      <c r="A33" s="61"/>
      <c r="B33" s="62"/>
      <c r="C33" s="61"/>
      <c r="E33" s="64"/>
      <c r="F33" s="67"/>
      <c r="G33" s="66"/>
      <c r="H33" s="66"/>
      <c r="I33" s="68"/>
    </row>
    <row r="34" spans="1:9">
      <c r="A34" s="63"/>
      <c r="B34" s="62"/>
      <c r="C34" s="61"/>
      <c r="E34" s="64"/>
      <c r="F34" s="67"/>
      <c r="G34" s="66"/>
      <c r="H34" s="66"/>
      <c r="I34" s="68"/>
    </row>
    <row r="35" spans="1:9">
      <c r="A35" s="61"/>
      <c r="B35" s="62"/>
      <c r="C35" s="61"/>
      <c r="E35" s="64"/>
      <c r="F35" s="67"/>
      <c r="G35" s="66"/>
      <c r="H35" s="66"/>
      <c r="I35" s="68"/>
    </row>
    <row r="36" spans="1:9">
      <c r="A36" s="68"/>
      <c r="B36" s="68"/>
      <c r="C36" s="68"/>
      <c r="D36" s="68"/>
      <c r="E36" s="68"/>
      <c r="F36" s="68"/>
      <c r="G36" s="69"/>
      <c r="H36" s="69"/>
      <c r="I36" s="68"/>
    </row>
    <row r="37" spans="1:9">
      <c r="A37" s="68"/>
      <c r="B37" s="68"/>
      <c r="C37" s="68"/>
      <c r="D37" s="68"/>
      <c r="E37" s="68"/>
      <c r="F37" s="68"/>
      <c r="G37" s="69"/>
      <c r="H37" s="69"/>
      <c r="I37" s="68"/>
    </row>
    <row r="38" spans="1:9">
      <c r="A38" s="68"/>
      <c r="B38" s="68"/>
      <c r="C38" s="68"/>
      <c r="D38" s="68"/>
      <c r="E38" s="68"/>
      <c r="F38" s="68"/>
      <c r="G38" s="69"/>
      <c r="H38" s="69"/>
      <c r="I38" s="68"/>
    </row>
  </sheetData>
  <mergeCells count="1">
    <mergeCell ref="A1:I1"/>
  </mergeCells>
  <pageMargins left="0.75" right="0.75" top="1" bottom="1" header="0.5" footer="0.5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0"/>
  <sheetViews>
    <sheetView workbookViewId="0">
      <selection activeCell="A1" sqref="$A1:$XFD1048576"/>
    </sheetView>
  </sheetViews>
  <sheetFormatPr defaultColWidth="9.1047619047619" defaultRowHeight="12.75" outlineLevelCol="6"/>
  <cols>
    <col min="1" max="1" width="4" style="5" customWidth="1"/>
    <col min="2" max="2" width="11.1047619047619" style="5" customWidth="1"/>
    <col min="3" max="3" width="29" style="5" customWidth="1"/>
    <col min="4" max="4" width="22.7142857142857" style="5" customWidth="1"/>
    <col min="5" max="5" width="14.8857142857143" style="5" customWidth="1"/>
    <col min="6" max="6" width="12.3333333333333" style="6" customWidth="1"/>
    <col min="7" max="7" width="14.1428571428571" style="7" customWidth="1"/>
    <col min="8" max="16377" width="9.1047619047619" style="2"/>
  </cols>
  <sheetData>
    <row r="1" s="1" customFormat="1" ht="30" customHeight="1" spans="1:7">
      <c r="A1" s="8" t="s">
        <v>879</v>
      </c>
      <c r="B1" s="8" t="s">
        <v>2</v>
      </c>
      <c r="C1" s="8" t="s">
        <v>3</v>
      </c>
      <c r="D1" s="8" t="s">
        <v>5</v>
      </c>
      <c r="E1" s="8" t="s">
        <v>6</v>
      </c>
      <c r="F1" s="8" t="s">
        <v>880</v>
      </c>
      <c r="G1" s="8" t="s">
        <v>880</v>
      </c>
    </row>
    <row r="2" s="2" customFormat="1" ht="20" customHeight="1" spans="1:7">
      <c r="A2" s="9">
        <v>1</v>
      </c>
      <c r="B2" s="9" t="s">
        <v>881</v>
      </c>
      <c r="C2" s="9" t="s">
        <v>882</v>
      </c>
      <c r="D2" s="9" t="s">
        <v>883</v>
      </c>
      <c r="E2" s="9" t="s">
        <v>884</v>
      </c>
      <c r="F2" s="10">
        <v>5526.56379299504</v>
      </c>
      <c r="G2" s="10">
        <v>9395.15844809156</v>
      </c>
    </row>
    <row r="3" s="2" customFormat="1" ht="23" customHeight="1" spans="1:7">
      <c r="A3" s="9">
        <v>2</v>
      </c>
      <c r="B3" s="9" t="s">
        <v>885</v>
      </c>
      <c r="C3" s="9" t="s">
        <v>882</v>
      </c>
      <c r="D3" s="9" t="s">
        <v>886</v>
      </c>
      <c r="E3" s="9" t="s">
        <v>884</v>
      </c>
      <c r="F3" s="10">
        <v>6181.52248003521</v>
      </c>
      <c r="G3" s="10">
        <v>10508.5882160599</v>
      </c>
    </row>
    <row r="4" s="2" customFormat="1" ht="22" customHeight="1" spans="1:7">
      <c r="A4" s="9">
        <v>3</v>
      </c>
      <c r="B4" s="9" t="s">
        <v>624</v>
      </c>
      <c r="C4" s="9" t="s">
        <v>625</v>
      </c>
      <c r="D4" s="9" t="s">
        <v>626</v>
      </c>
      <c r="E4" s="9" t="s">
        <v>884</v>
      </c>
      <c r="F4" s="10">
        <v>6247.29824561403</v>
      </c>
      <c r="G4" s="10">
        <v>10620.4070175439</v>
      </c>
    </row>
    <row r="5" s="2" customFormat="1" ht="20" customHeight="1" spans="1:7">
      <c r="A5" s="9">
        <v>4</v>
      </c>
      <c r="B5" s="9" t="s">
        <v>887</v>
      </c>
      <c r="C5" s="9" t="s">
        <v>888</v>
      </c>
      <c r="D5" s="9" t="s">
        <v>889</v>
      </c>
      <c r="E5" s="9" t="s">
        <v>884</v>
      </c>
      <c r="F5" s="10">
        <v>8089.01968182104</v>
      </c>
      <c r="G5" s="10">
        <v>13751.3334590958</v>
      </c>
    </row>
    <row r="6" s="2" customFormat="1" ht="17" customHeight="1" spans="1:7">
      <c r="A6" s="9">
        <v>5</v>
      </c>
      <c r="B6" s="9" t="s">
        <v>890</v>
      </c>
      <c r="C6" s="9" t="s">
        <v>891</v>
      </c>
      <c r="D6" s="9" t="s">
        <v>892</v>
      </c>
      <c r="E6" s="9" t="s">
        <v>884</v>
      </c>
      <c r="F6" s="10">
        <v>3469.32176318933</v>
      </c>
      <c r="G6" s="10">
        <v>5897.84699742187</v>
      </c>
    </row>
    <row r="7" s="2" customFormat="1" ht="17" customHeight="1" spans="1:7">
      <c r="A7" s="9">
        <v>6</v>
      </c>
      <c r="B7" s="9" t="s">
        <v>893</v>
      </c>
      <c r="C7" s="9" t="s">
        <v>891</v>
      </c>
      <c r="D7" s="9" t="s">
        <v>894</v>
      </c>
      <c r="E7" s="9" t="s">
        <v>884</v>
      </c>
      <c r="F7" s="10">
        <v>4169.06395019808</v>
      </c>
      <c r="G7" s="10">
        <v>7087.40871533673</v>
      </c>
    </row>
    <row r="8" s="2" customFormat="1" ht="15" customHeight="1" spans="1:7">
      <c r="A8" s="9">
        <v>7</v>
      </c>
      <c r="B8" s="9" t="s">
        <v>895</v>
      </c>
      <c r="C8" s="9" t="s">
        <v>891</v>
      </c>
      <c r="D8" s="9" t="s">
        <v>896</v>
      </c>
      <c r="E8" s="9" t="s">
        <v>884</v>
      </c>
      <c r="F8" s="10">
        <v>4446.16185625354</v>
      </c>
      <c r="G8" s="10">
        <v>7558.47515563101</v>
      </c>
    </row>
    <row r="9" s="2" customFormat="1" ht="17" customHeight="1" spans="1:7">
      <c r="A9" s="9">
        <v>8</v>
      </c>
      <c r="B9" s="9" t="s">
        <v>628</v>
      </c>
      <c r="C9" s="9" t="s">
        <v>629</v>
      </c>
      <c r="D9" s="9" t="s">
        <v>630</v>
      </c>
      <c r="E9" s="9" t="s">
        <v>884</v>
      </c>
      <c r="F9" s="10">
        <v>6947.04043262278</v>
      </c>
      <c r="G9" s="10">
        <v>11809.9687354587</v>
      </c>
    </row>
    <row r="10" s="2" customFormat="1" ht="19" customHeight="1" spans="1:7">
      <c r="A10" s="9">
        <v>9</v>
      </c>
      <c r="B10" s="9" t="s">
        <v>897</v>
      </c>
      <c r="C10" s="9" t="s">
        <v>703</v>
      </c>
      <c r="D10" s="9" t="s">
        <v>898</v>
      </c>
      <c r="E10" s="9" t="s">
        <v>884</v>
      </c>
      <c r="F10" s="10">
        <v>3710.03307552034</v>
      </c>
      <c r="G10" s="10">
        <v>6307.05622838458</v>
      </c>
    </row>
    <row r="11" s="2" customFormat="1" ht="23" customHeight="1" spans="1:7">
      <c r="A11" s="9">
        <v>10</v>
      </c>
      <c r="B11" s="9" t="s">
        <v>899</v>
      </c>
      <c r="C11" s="9" t="s">
        <v>900</v>
      </c>
      <c r="D11" s="9" t="s">
        <v>633</v>
      </c>
      <c r="E11" s="9" t="s">
        <v>884</v>
      </c>
      <c r="F11" s="10">
        <v>4566.51751241904</v>
      </c>
      <c r="G11" s="10">
        <v>7763.07977111237</v>
      </c>
    </row>
    <row r="12" s="2" customFormat="1" ht="21" customHeight="1" spans="1:7">
      <c r="A12" s="9">
        <v>11</v>
      </c>
      <c r="B12" s="9" t="s">
        <v>901</v>
      </c>
      <c r="C12" s="9" t="s">
        <v>703</v>
      </c>
      <c r="D12" s="9" t="s">
        <v>902</v>
      </c>
      <c r="E12" s="9" t="s">
        <v>884</v>
      </c>
      <c r="F12" s="10">
        <v>7886.09444758851</v>
      </c>
      <c r="G12" s="10">
        <v>13406.3605609005</v>
      </c>
    </row>
    <row r="13" s="2" customFormat="1" ht="20" customHeight="1" spans="1:7">
      <c r="A13" s="9">
        <v>12</v>
      </c>
      <c r="B13" s="9" t="s">
        <v>903</v>
      </c>
      <c r="C13" s="9" t="s">
        <v>904</v>
      </c>
      <c r="D13" s="9" t="s">
        <v>905</v>
      </c>
      <c r="E13" s="9" t="s">
        <v>884</v>
      </c>
      <c r="F13" s="10">
        <v>5674.90913664089</v>
      </c>
      <c r="G13" s="10">
        <v>9647.3455322895</v>
      </c>
    </row>
    <row r="14" s="2" customFormat="1" ht="22" customHeight="1" spans="1:7">
      <c r="A14" s="9">
        <v>13</v>
      </c>
      <c r="B14" s="9" t="s">
        <v>906</v>
      </c>
      <c r="C14" s="9" t="s">
        <v>651</v>
      </c>
      <c r="D14" s="9" t="s">
        <v>907</v>
      </c>
      <c r="E14" s="9" t="s">
        <v>884</v>
      </c>
      <c r="F14" s="10">
        <v>6205.31371439351</v>
      </c>
      <c r="G14" s="10">
        <v>10549.033314469</v>
      </c>
    </row>
    <row r="15" s="2" customFormat="1" ht="22" customHeight="1" spans="1:7">
      <c r="A15" s="9">
        <v>14</v>
      </c>
      <c r="B15" s="9" t="s">
        <v>908</v>
      </c>
      <c r="C15" s="9" t="s">
        <v>909</v>
      </c>
      <c r="D15" s="9" t="s">
        <v>633</v>
      </c>
      <c r="E15" s="9" t="s">
        <v>884</v>
      </c>
      <c r="F15" s="10">
        <v>6173.12557379111</v>
      </c>
      <c r="G15" s="10">
        <v>10494.3134754449</v>
      </c>
    </row>
    <row r="16" s="2" customFormat="1" ht="20" customHeight="1" spans="1:7">
      <c r="A16" s="9">
        <v>15</v>
      </c>
      <c r="B16" s="9" t="s">
        <v>910</v>
      </c>
      <c r="C16" s="9" t="s">
        <v>911</v>
      </c>
      <c r="D16" s="9" t="s">
        <v>912</v>
      </c>
      <c r="E16" s="9" t="s">
        <v>884</v>
      </c>
      <c r="F16" s="10">
        <v>3129.24706030309</v>
      </c>
      <c r="G16" s="10">
        <v>5319.72000251525</v>
      </c>
    </row>
    <row r="17" s="2" customFormat="1" ht="21" customHeight="1" spans="1:7">
      <c r="A17" s="9">
        <v>16</v>
      </c>
      <c r="B17" s="9" t="s">
        <v>668</v>
      </c>
      <c r="C17" s="9" t="s">
        <v>666</v>
      </c>
      <c r="D17" s="9" t="s">
        <v>669</v>
      </c>
      <c r="E17" s="9" t="s">
        <v>884</v>
      </c>
      <c r="F17" s="10">
        <v>4542.72627806074</v>
      </c>
      <c r="G17" s="10">
        <v>7722.63467270326</v>
      </c>
    </row>
    <row r="18" s="2" customFormat="1" ht="21" customHeight="1" spans="1:7">
      <c r="A18" s="9">
        <v>17</v>
      </c>
      <c r="B18" s="9" t="s">
        <v>631</v>
      </c>
      <c r="C18" s="9" t="s">
        <v>632</v>
      </c>
      <c r="D18" s="9" t="s">
        <v>633</v>
      </c>
      <c r="E18" s="9" t="s">
        <v>884</v>
      </c>
      <c r="F18" s="10">
        <v>4779.2391372697</v>
      </c>
      <c r="G18" s="10">
        <v>8124.70653335849</v>
      </c>
    </row>
    <row r="19" s="2" customFormat="1" ht="23" customHeight="1" spans="1:7">
      <c r="A19" s="9">
        <v>18</v>
      </c>
      <c r="B19" s="9" t="s">
        <v>913</v>
      </c>
      <c r="C19" s="9" t="s">
        <v>914</v>
      </c>
      <c r="D19" s="9" t="s">
        <v>915</v>
      </c>
      <c r="E19" s="9" t="s">
        <v>916</v>
      </c>
      <c r="F19" s="10">
        <v>7589.4037602968</v>
      </c>
      <c r="G19" s="10">
        <v>12901.9863925046</v>
      </c>
    </row>
    <row r="20" s="2" customFormat="1" ht="22" customHeight="1" spans="1:7">
      <c r="A20" s="9">
        <v>19</v>
      </c>
      <c r="B20" s="9" t="s">
        <v>917</v>
      </c>
      <c r="C20" s="9" t="s">
        <v>918</v>
      </c>
      <c r="D20" s="9" t="s">
        <v>919</v>
      </c>
      <c r="E20" s="9" t="s">
        <v>916</v>
      </c>
      <c r="F20" s="10">
        <v>7688.76715085204</v>
      </c>
      <c r="G20" s="10">
        <v>13070.9041564485</v>
      </c>
    </row>
    <row r="21" s="2" customFormat="1" ht="24" customHeight="1" spans="1:7">
      <c r="A21" s="9">
        <v>20</v>
      </c>
      <c r="B21" s="9" t="s">
        <v>920</v>
      </c>
      <c r="C21" s="9" t="s">
        <v>921</v>
      </c>
      <c r="D21" s="9" t="s">
        <v>919</v>
      </c>
      <c r="E21" s="9" t="s">
        <v>916</v>
      </c>
      <c r="F21" s="10">
        <v>7688.76715085204</v>
      </c>
      <c r="G21" s="10">
        <v>13070.9041564485</v>
      </c>
    </row>
    <row r="22" s="2" customFormat="1" ht="19" customHeight="1" spans="1:7">
      <c r="A22" s="9">
        <v>21</v>
      </c>
      <c r="B22" s="9" t="s">
        <v>922</v>
      </c>
      <c r="C22" s="9" t="s">
        <v>923</v>
      </c>
      <c r="D22" s="9" t="s">
        <v>915</v>
      </c>
      <c r="E22" s="9" t="s">
        <v>916</v>
      </c>
      <c r="F22" s="10">
        <v>8706.19229076275</v>
      </c>
      <c r="G22" s="10">
        <v>14800.5268942967</v>
      </c>
    </row>
    <row r="23" s="2" customFormat="1" ht="19" customHeight="1" spans="1:7">
      <c r="A23" s="9">
        <v>22</v>
      </c>
      <c r="B23" s="11" t="s">
        <v>634</v>
      </c>
      <c r="C23" s="11" t="s">
        <v>924</v>
      </c>
      <c r="D23" s="11" t="s">
        <v>695</v>
      </c>
      <c r="E23" s="11">
        <v>858</v>
      </c>
      <c r="F23" s="10">
        <v>7417.26718229265</v>
      </c>
      <c r="G23" s="10">
        <v>12609.3542098975</v>
      </c>
    </row>
    <row r="24" s="2" customFormat="1" spans="1:7">
      <c r="A24" s="9">
        <v>23</v>
      </c>
      <c r="B24" s="9" t="s">
        <v>925</v>
      </c>
      <c r="C24" s="9" t="s">
        <v>926</v>
      </c>
      <c r="D24" s="9" t="s">
        <v>927</v>
      </c>
      <c r="E24" s="9" t="s">
        <v>429</v>
      </c>
      <c r="F24" s="10">
        <v>1514.24209268691</v>
      </c>
      <c r="G24" s="10">
        <v>2574.21155756775</v>
      </c>
    </row>
    <row r="25" s="2" customFormat="1" spans="1:7">
      <c r="A25" s="9">
        <v>24</v>
      </c>
      <c r="B25" s="9" t="s">
        <v>928</v>
      </c>
      <c r="C25" s="9" t="s">
        <v>926</v>
      </c>
      <c r="D25" s="9" t="s">
        <v>929</v>
      </c>
      <c r="E25" s="9" t="s">
        <v>429</v>
      </c>
      <c r="F25" s="10">
        <v>4754.04841853738</v>
      </c>
      <c r="G25" s="10">
        <v>8081.88231151355</v>
      </c>
    </row>
    <row r="26" s="2" customFormat="1" spans="1:7">
      <c r="A26" s="9">
        <v>25</v>
      </c>
      <c r="B26" s="11" t="s">
        <v>930</v>
      </c>
      <c r="C26" s="9" t="s">
        <v>926</v>
      </c>
      <c r="D26" s="11" t="s">
        <v>931</v>
      </c>
      <c r="E26" s="9" t="s">
        <v>429</v>
      </c>
      <c r="F26" s="12">
        <v>4688.27265295856</v>
      </c>
      <c r="G26" s="12">
        <v>7970.06351002955</v>
      </c>
    </row>
    <row r="27" s="2" customFormat="1" ht="25.5" spans="1:7">
      <c r="A27" s="9">
        <v>26</v>
      </c>
      <c r="B27" s="11" t="s">
        <v>932</v>
      </c>
      <c r="C27" s="11" t="s">
        <v>933</v>
      </c>
      <c r="D27" s="11" t="s">
        <v>934</v>
      </c>
      <c r="E27" s="9" t="s">
        <v>429</v>
      </c>
      <c r="F27" s="12">
        <v>5071.73137143935</v>
      </c>
      <c r="G27" s="12">
        <v>8621.9433314469</v>
      </c>
    </row>
    <row r="28" s="2" customFormat="1" spans="1:7">
      <c r="A28" s="9">
        <v>27</v>
      </c>
      <c r="B28" s="9" t="s">
        <v>935</v>
      </c>
      <c r="C28" s="9" t="s">
        <v>936</v>
      </c>
      <c r="D28" s="9" t="s">
        <v>937</v>
      </c>
      <c r="E28" s="9" t="s">
        <v>429</v>
      </c>
      <c r="F28" s="10">
        <v>2349.73426397535</v>
      </c>
      <c r="G28" s="10">
        <v>3994.5482487581</v>
      </c>
    </row>
    <row r="29" s="2" customFormat="1" spans="1:7">
      <c r="A29" s="9">
        <v>28</v>
      </c>
      <c r="B29" s="9" t="s">
        <v>938</v>
      </c>
      <c r="C29" s="9" t="s">
        <v>939</v>
      </c>
      <c r="D29" s="9" t="s">
        <v>940</v>
      </c>
      <c r="E29" s="9" t="s">
        <v>429</v>
      </c>
      <c r="F29" s="10">
        <v>2980.90171665723</v>
      </c>
      <c r="G29" s="10">
        <v>5067.5329183173</v>
      </c>
    </row>
    <row r="30" s="2" customFormat="1" spans="1:7">
      <c r="A30" s="9">
        <v>29</v>
      </c>
      <c r="B30" s="9" t="s">
        <v>941</v>
      </c>
      <c r="C30" s="9" t="s">
        <v>936</v>
      </c>
      <c r="D30" s="9" t="s">
        <v>942</v>
      </c>
      <c r="E30" s="9" t="s">
        <v>429</v>
      </c>
      <c r="F30" s="10">
        <v>2327.34251399107</v>
      </c>
      <c r="G30" s="10">
        <v>3956.48227378482</v>
      </c>
    </row>
    <row r="31" s="3" customFormat="1" spans="1:7">
      <c r="A31" s="9">
        <v>30</v>
      </c>
      <c r="B31" s="9" t="s">
        <v>943</v>
      </c>
      <c r="C31" s="11" t="s">
        <v>944</v>
      </c>
      <c r="D31" s="11" t="s">
        <v>945</v>
      </c>
      <c r="E31" s="9" t="s">
        <v>429</v>
      </c>
      <c r="F31" s="12">
        <v>6117.14619883041</v>
      </c>
      <c r="G31" s="12">
        <v>10399.1485380117</v>
      </c>
    </row>
    <row r="32" s="3" customFormat="1" spans="1:7">
      <c r="A32" s="9">
        <v>31</v>
      </c>
      <c r="B32" s="9" t="s">
        <v>946</v>
      </c>
      <c r="C32" s="11" t="s">
        <v>947</v>
      </c>
      <c r="D32" s="11" t="s">
        <v>948</v>
      </c>
      <c r="E32" s="9" t="s">
        <v>429</v>
      </c>
      <c r="F32" s="12">
        <v>3624.66452870528</v>
      </c>
      <c r="G32" s="12">
        <v>6161.92969879897</v>
      </c>
    </row>
    <row r="33" s="3" customFormat="1" ht="28" customHeight="1" spans="1:7">
      <c r="A33" s="9">
        <v>32</v>
      </c>
      <c r="B33" s="13" t="s">
        <v>949</v>
      </c>
      <c r="C33" s="13" t="s">
        <v>950</v>
      </c>
      <c r="D33" s="13" t="s">
        <v>951</v>
      </c>
      <c r="E33" s="13" t="s">
        <v>952</v>
      </c>
      <c r="F33" s="12">
        <v>5428.65586618877</v>
      </c>
      <c r="G33" s="12">
        <v>9228.71497252091</v>
      </c>
    </row>
    <row r="34" s="3" customFormat="1" spans="1:7">
      <c r="A34" s="9">
        <v>33</v>
      </c>
      <c r="B34" s="9" t="s">
        <v>953</v>
      </c>
      <c r="C34" s="11" t="s">
        <v>954</v>
      </c>
      <c r="D34" s="11" t="s">
        <v>955</v>
      </c>
      <c r="E34" s="9" t="s">
        <v>429</v>
      </c>
      <c r="F34" s="12">
        <v>7078.59196378042</v>
      </c>
      <c r="G34" s="12">
        <v>12033.6063384267</v>
      </c>
    </row>
    <row r="35" s="3" customFormat="1" ht="25.5" spans="1:7">
      <c r="A35" s="9">
        <v>34</v>
      </c>
      <c r="B35" s="9" t="s">
        <v>607</v>
      </c>
      <c r="C35" s="11" t="s">
        <v>956</v>
      </c>
      <c r="D35" s="11" t="s">
        <v>957</v>
      </c>
      <c r="E35" s="9" t="s">
        <v>429</v>
      </c>
      <c r="F35" s="12">
        <v>3281.79085707099</v>
      </c>
      <c r="G35" s="12">
        <v>5579.04445702069</v>
      </c>
    </row>
    <row r="36" s="3" customFormat="1" ht="28" customHeight="1" spans="1:7">
      <c r="A36" s="9">
        <v>35</v>
      </c>
      <c r="B36" s="13" t="s">
        <v>958</v>
      </c>
      <c r="C36" s="13" t="s">
        <v>959</v>
      </c>
      <c r="D36" s="13" t="s">
        <v>960</v>
      </c>
      <c r="E36" s="9" t="s">
        <v>429</v>
      </c>
      <c r="F36" s="12">
        <v>4922.37839904421</v>
      </c>
      <c r="G36" s="12">
        <v>8368.04327837515</v>
      </c>
    </row>
    <row r="37" s="3" customFormat="1" spans="1:7">
      <c r="A37" s="9">
        <v>36</v>
      </c>
      <c r="B37" s="11" t="s">
        <v>961</v>
      </c>
      <c r="C37" s="11" t="s">
        <v>962</v>
      </c>
      <c r="D37" s="11" t="s">
        <v>963</v>
      </c>
      <c r="E37" s="9" t="s">
        <v>429</v>
      </c>
      <c r="F37" s="12">
        <v>3972.57634408602</v>
      </c>
      <c r="G37" s="12">
        <v>6753.37978494624</v>
      </c>
    </row>
    <row r="38" s="3" customFormat="1" spans="1:7">
      <c r="A38" s="9">
        <v>37</v>
      </c>
      <c r="B38" s="9" t="s">
        <v>681</v>
      </c>
      <c r="C38" s="11" t="s">
        <v>964</v>
      </c>
      <c r="D38" s="11" t="s">
        <v>965</v>
      </c>
      <c r="E38" s="9" t="s">
        <v>429</v>
      </c>
      <c r="F38" s="12">
        <v>1477.85549896246</v>
      </c>
      <c r="G38" s="12">
        <v>2512.35434823618</v>
      </c>
    </row>
    <row r="39" s="3" customFormat="1" spans="1:7">
      <c r="A39" s="9">
        <v>38</v>
      </c>
      <c r="B39" s="9" t="s">
        <v>684</v>
      </c>
      <c r="C39" s="11" t="s">
        <v>964</v>
      </c>
      <c r="D39" s="11" t="s">
        <v>966</v>
      </c>
      <c r="E39" s="9" t="s">
        <v>429</v>
      </c>
      <c r="F39" s="12">
        <v>2099.22656102622</v>
      </c>
      <c r="G39" s="12">
        <v>3568.68515374458</v>
      </c>
    </row>
    <row r="40" s="3" customFormat="1" spans="1:7">
      <c r="A40" s="9">
        <v>39</v>
      </c>
      <c r="B40" s="9" t="s">
        <v>967</v>
      </c>
      <c r="C40" s="9" t="s">
        <v>968</v>
      </c>
      <c r="D40" s="9" t="s">
        <v>969</v>
      </c>
      <c r="E40" s="9" t="s">
        <v>429</v>
      </c>
      <c r="F40" s="10">
        <v>9426.92674338175</v>
      </c>
      <c r="G40" s="10">
        <v>16025.775463749</v>
      </c>
    </row>
    <row r="41" s="3" customFormat="1" spans="1:7">
      <c r="A41" s="9">
        <v>40</v>
      </c>
      <c r="B41" s="9" t="s">
        <v>662</v>
      </c>
      <c r="C41" s="9" t="s">
        <v>970</v>
      </c>
      <c r="D41" s="9" t="s">
        <v>971</v>
      </c>
      <c r="E41" s="9" t="s">
        <v>429</v>
      </c>
      <c r="F41" s="10">
        <v>8536.85468150663</v>
      </c>
      <c r="G41" s="10">
        <v>14512.6529585613</v>
      </c>
    </row>
    <row r="42" s="3" customFormat="1" spans="1:7">
      <c r="A42" s="9">
        <v>41</v>
      </c>
      <c r="B42" s="9" t="s">
        <v>972</v>
      </c>
      <c r="C42" s="9" t="s">
        <v>973</v>
      </c>
      <c r="D42" s="9" t="s">
        <v>974</v>
      </c>
      <c r="E42" s="9" t="s">
        <v>429</v>
      </c>
      <c r="F42" s="10">
        <v>7753.14343205685</v>
      </c>
      <c r="G42" s="10">
        <v>13180.3438344966</v>
      </c>
    </row>
    <row r="43" s="2" customFormat="1" spans="1:7">
      <c r="A43" s="9">
        <v>42</v>
      </c>
      <c r="B43" s="9" t="s">
        <v>975</v>
      </c>
      <c r="C43" s="9" t="s">
        <v>976</v>
      </c>
      <c r="D43" s="9" t="s">
        <v>977</v>
      </c>
      <c r="E43" s="9" t="s">
        <v>429</v>
      </c>
      <c r="F43" s="10">
        <v>6695.13324529963</v>
      </c>
      <c r="G43" s="10">
        <v>11381.7265170094</v>
      </c>
    </row>
    <row r="44" s="2" customFormat="1" spans="1:7">
      <c r="A44" s="9"/>
      <c r="B44" s="9" t="s">
        <v>978</v>
      </c>
      <c r="C44" s="9" t="s">
        <v>979</v>
      </c>
      <c r="D44" s="9" t="s">
        <v>977</v>
      </c>
      <c r="E44" s="9" t="s">
        <v>429</v>
      </c>
      <c r="F44" s="10">
        <v>6695.13324529963</v>
      </c>
      <c r="G44" s="10">
        <v>11381.7265170094</v>
      </c>
    </row>
    <row r="45" s="2" customFormat="1" ht="25.5" spans="1:7">
      <c r="A45" s="9">
        <v>44</v>
      </c>
      <c r="B45" s="9" t="s">
        <v>980</v>
      </c>
      <c r="C45" s="9" t="s">
        <v>973</v>
      </c>
      <c r="D45" s="9" t="s">
        <v>981</v>
      </c>
      <c r="E45" s="9" t="s">
        <v>429</v>
      </c>
      <c r="F45" s="10">
        <v>6134.89166069295</v>
      </c>
      <c r="G45" s="10">
        <v>10429.315823178</v>
      </c>
    </row>
    <row r="46" s="2" customFormat="1" spans="1:7">
      <c r="A46" s="9"/>
      <c r="B46" s="9" t="s">
        <v>982</v>
      </c>
      <c r="C46" s="9" t="s">
        <v>973</v>
      </c>
      <c r="D46" s="9" t="s">
        <v>983</v>
      </c>
      <c r="E46" s="9" t="s">
        <v>429</v>
      </c>
      <c r="F46" s="10">
        <v>4676.6849223417</v>
      </c>
      <c r="G46" s="10">
        <v>7950.36436798088</v>
      </c>
    </row>
    <row r="47" s="2" customFormat="1" spans="1:7">
      <c r="A47" s="9">
        <v>46</v>
      </c>
      <c r="B47" s="9" t="s">
        <v>984</v>
      </c>
      <c r="C47" s="9" t="s">
        <v>985</v>
      </c>
      <c r="D47" s="9" t="s">
        <v>986</v>
      </c>
      <c r="E47" s="9" t="s">
        <v>429</v>
      </c>
      <c r="F47" s="10">
        <v>15486.6940828774</v>
      </c>
      <c r="G47" s="10">
        <v>26327.3799408917</v>
      </c>
    </row>
    <row r="48" s="2" customFormat="1" spans="1:7">
      <c r="A48" s="9">
        <v>47</v>
      </c>
      <c r="B48" s="9" t="s">
        <v>987</v>
      </c>
      <c r="C48" s="9" t="s">
        <v>988</v>
      </c>
      <c r="D48" s="9" t="s">
        <v>986</v>
      </c>
      <c r="E48" s="9" t="s">
        <v>429</v>
      </c>
      <c r="F48" s="10">
        <v>14024.2329120292</v>
      </c>
      <c r="G48" s="10">
        <v>23841.1959504496</v>
      </c>
    </row>
    <row r="49" s="2" customFormat="1" ht="25.5" spans="1:7">
      <c r="A49" s="9">
        <v>48</v>
      </c>
      <c r="B49" s="9" t="s">
        <v>989</v>
      </c>
      <c r="C49" s="9" t="s">
        <v>990</v>
      </c>
      <c r="D49" s="9" t="s">
        <v>991</v>
      </c>
      <c r="E49" s="9" t="s">
        <v>429</v>
      </c>
      <c r="F49" s="10">
        <v>11615.7203043451</v>
      </c>
      <c r="G49" s="10">
        <v>19746.7245173867</v>
      </c>
    </row>
    <row r="50" s="2" customFormat="1" ht="25.5" spans="1:7">
      <c r="A50" s="9">
        <v>49</v>
      </c>
      <c r="B50" s="9" t="s">
        <v>992</v>
      </c>
      <c r="C50" s="9" t="s">
        <v>993</v>
      </c>
      <c r="D50" s="9" t="s">
        <v>991</v>
      </c>
      <c r="E50" s="9" t="s">
        <v>429</v>
      </c>
      <c r="F50" s="10">
        <v>9393.33911840533</v>
      </c>
      <c r="G50" s="10">
        <v>15968.6765012891</v>
      </c>
    </row>
    <row r="51" s="3" customFormat="1" spans="1:7">
      <c r="A51" s="9">
        <v>50</v>
      </c>
      <c r="B51" s="11" t="s">
        <v>994</v>
      </c>
      <c r="C51" s="11" t="s">
        <v>995</v>
      </c>
      <c r="D51" s="11" t="s">
        <v>996</v>
      </c>
      <c r="E51" s="9" t="s">
        <v>997</v>
      </c>
      <c r="F51" s="12">
        <v>2668.81670125134</v>
      </c>
      <c r="G51" s="12">
        <v>4536.98839212727</v>
      </c>
    </row>
    <row r="52" s="3" customFormat="1" ht="25.5" spans="1:7">
      <c r="A52" s="9">
        <v>51</v>
      </c>
      <c r="B52" s="11" t="s">
        <v>998</v>
      </c>
      <c r="C52" s="11" t="s">
        <v>999</v>
      </c>
      <c r="D52" s="11" t="s">
        <v>1000</v>
      </c>
      <c r="E52" s="9" t="s">
        <v>997</v>
      </c>
      <c r="F52" s="12">
        <v>2260.16726403823</v>
      </c>
      <c r="G52" s="12">
        <v>3842.28434886499</v>
      </c>
    </row>
    <row r="53" s="3" customFormat="1" spans="1:7">
      <c r="A53" s="9">
        <v>52</v>
      </c>
      <c r="B53" s="11" t="s">
        <v>1001</v>
      </c>
      <c r="C53" s="14" t="s">
        <v>1002</v>
      </c>
      <c r="D53" s="11" t="s">
        <v>1003</v>
      </c>
      <c r="E53" s="9" t="s">
        <v>997</v>
      </c>
      <c r="F53" s="12">
        <v>3255.20065396466</v>
      </c>
      <c r="G53" s="12">
        <v>5533.84111173992</v>
      </c>
    </row>
    <row r="54" s="3" customFormat="1" spans="1:7">
      <c r="A54" s="9">
        <v>53</v>
      </c>
      <c r="B54" s="11" t="s">
        <v>1004</v>
      </c>
      <c r="C54" s="14" t="s">
        <v>1005</v>
      </c>
      <c r="D54" s="11" t="s">
        <v>1006</v>
      </c>
      <c r="E54" s="9" t="s">
        <v>997</v>
      </c>
      <c r="F54" s="12">
        <v>4015.12066905615</v>
      </c>
      <c r="G54" s="12">
        <v>6825.70513739546</v>
      </c>
    </row>
    <row r="55" s="3" customFormat="1" spans="1:7">
      <c r="A55" s="9">
        <v>54</v>
      </c>
      <c r="B55" s="11" t="s">
        <v>1007</v>
      </c>
      <c r="C55" s="11" t="s">
        <v>1008</v>
      </c>
      <c r="D55" s="11" t="s">
        <v>1009</v>
      </c>
      <c r="E55" s="9" t="s">
        <v>997</v>
      </c>
      <c r="F55" s="12">
        <v>9867.76432119726</v>
      </c>
      <c r="G55" s="12">
        <v>16775.1993460353</v>
      </c>
    </row>
    <row r="56" s="3" customFormat="1" spans="1:7">
      <c r="A56" s="9">
        <v>55</v>
      </c>
      <c r="B56" s="11" t="s">
        <v>1010</v>
      </c>
      <c r="C56" s="11" t="s">
        <v>1011</v>
      </c>
      <c r="D56" s="11" t="s">
        <v>1012</v>
      </c>
      <c r="E56" s="9" t="s">
        <v>429</v>
      </c>
      <c r="F56" s="12">
        <v>8676.80311890838</v>
      </c>
      <c r="G56" s="12">
        <v>14750.5653021442</v>
      </c>
    </row>
    <row r="57" s="3" customFormat="1" spans="1:7">
      <c r="A57" s="9">
        <v>56</v>
      </c>
      <c r="B57" s="11" t="s">
        <v>1013</v>
      </c>
      <c r="C57" s="11" t="s">
        <v>1014</v>
      </c>
      <c r="D57" s="11" t="s">
        <v>1015</v>
      </c>
      <c r="E57" s="9" t="s">
        <v>1016</v>
      </c>
      <c r="F57" s="12">
        <v>21613.636672326</v>
      </c>
      <c r="G57" s="12">
        <v>36743.1823429542</v>
      </c>
    </row>
    <row r="58" s="3" customFormat="1" ht="25.5" spans="1:7">
      <c r="A58" s="9">
        <v>57</v>
      </c>
      <c r="B58" s="11" t="s">
        <v>1017</v>
      </c>
      <c r="C58" s="11" t="s">
        <v>1014</v>
      </c>
      <c r="D58" s="11" t="s">
        <v>1018</v>
      </c>
      <c r="E58" s="9" t="s">
        <v>1019</v>
      </c>
      <c r="F58" s="12">
        <v>18155.5107841288</v>
      </c>
      <c r="G58" s="12">
        <v>30864.3683330189</v>
      </c>
    </row>
    <row r="59" s="3" customFormat="1" spans="1:7">
      <c r="A59" s="9">
        <v>58</v>
      </c>
      <c r="B59" s="11" t="s">
        <v>1020</v>
      </c>
      <c r="C59" s="11" t="s">
        <v>1021</v>
      </c>
      <c r="D59" s="11" t="s">
        <v>1022</v>
      </c>
      <c r="E59" s="9" t="s">
        <v>1023</v>
      </c>
      <c r="F59" s="12">
        <v>10790.0245236748</v>
      </c>
      <c r="G59" s="12">
        <v>18343.0416902471</v>
      </c>
    </row>
    <row r="60" s="3" customFormat="1" ht="25.5" spans="1:7">
      <c r="A60" s="9">
        <v>59</v>
      </c>
      <c r="B60" s="11" t="s">
        <v>1024</v>
      </c>
      <c r="C60" s="11" t="s">
        <v>1025</v>
      </c>
      <c r="D60" s="11" t="s">
        <v>1026</v>
      </c>
      <c r="E60" s="9" t="s">
        <v>1027</v>
      </c>
      <c r="F60" s="12">
        <v>17755.6081242533</v>
      </c>
      <c r="G60" s="12">
        <v>30184.5338112306</v>
      </c>
    </row>
    <row r="61" s="3" customFormat="1" ht="25.5" spans="1:7">
      <c r="A61" s="9">
        <v>60</v>
      </c>
      <c r="B61" s="11" t="s">
        <v>1028</v>
      </c>
      <c r="C61" s="11" t="s">
        <v>855</v>
      </c>
      <c r="D61" s="11" t="s">
        <v>856</v>
      </c>
      <c r="E61" s="9" t="s">
        <v>1029</v>
      </c>
      <c r="F61" s="15">
        <v>5658.39522102748</v>
      </c>
      <c r="G61" s="15">
        <v>9619</v>
      </c>
    </row>
    <row r="62" s="3" customFormat="1" ht="25.5" spans="1:7">
      <c r="A62" s="9">
        <v>61</v>
      </c>
      <c r="B62" s="11" t="s">
        <v>1030</v>
      </c>
      <c r="C62" s="11" t="s">
        <v>855</v>
      </c>
      <c r="D62" s="11" t="s">
        <v>859</v>
      </c>
      <c r="E62" s="9" t="s">
        <v>1029</v>
      </c>
      <c r="F62" s="15">
        <v>5658.39522102748</v>
      </c>
      <c r="G62" s="15">
        <v>9619</v>
      </c>
    </row>
    <row r="63" s="3" customFormat="1" ht="25.5" spans="1:7">
      <c r="A63" s="9">
        <v>62</v>
      </c>
      <c r="B63" s="11" t="s">
        <v>1031</v>
      </c>
      <c r="C63" s="11" t="s">
        <v>855</v>
      </c>
      <c r="D63" s="11" t="s">
        <v>861</v>
      </c>
      <c r="E63" s="9" t="s">
        <v>1029</v>
      </c>
      <c r="F63" s="15">
        <v>5658.39522102748</v>
      </c>
      <c r="G63" s="15">
        <v>9619</v>
      </c>
    </row>
    <row r="64" s="3" customFormat="1" ht="25.5" spans="1:7">
      <c r="A64" s="9">
        <v>63</v>
      </c>
      <c r="B64" s="11" t="s">
        <v>1032</v>
      </c>
      <c r="C64" s="11" t="s">
        <v>855</v>
      </c>
      <c r="D64" s="11" t="s">
        <v>1033</v>
      </c>
      <c r="E64" s="9" t="s">
        <v>1029</v>
      </c>
      <c r="F64" s="12">
        <v>2544.11527781915</v>
      </c>
      <c r="G64" s="12">
        <v>4324.99597229255</v>
      </c>
    </row>
    <row r="65" s="2" customFormat="1" spans="1:7">
      <c r="A65" s="9">
        <v>64</v>
      </c>
      <c r="B65" s="11" t="s">
        <v>1034</v>
      </c>
      <c r="C65" s="11" t="s">
        <v>142</v>
      </c>
      <c r="D65" s="11" t="s">
        <v>1035</v>
      </c>
      <c r="E65" s="9" t="s">
        <v>647</v>
      </c>
      <c r="F65" s="16">
        <v>10865.8205973716</v>
      </c>
      <c r="G65" s="16">
        <v>18471.8950155317</v>
      </c>
    </row>
    <row r="66" s="2" customFormat="1" ht="25.5" spans="1:7">
      <c r="A66" s="9">
        <v>65</v>
      </c>
      <c r="B66" s="11" t="s">
        <v>1036</v>
      </c>
      <c r="C66" s="9" t="s">
        <v>666</v>
      </c>
      <c r="D66" s="9" t="s">
        <v>1037</v>
      </c>
      <c r="E66" s="9" t="s">
        <v>1038</v>
      </c>
      <c r="F66" s="17">
        <v>13954.5385902031</v>
      </c>
      <c r="G66" s="17">
        <v>23722.7156033453</v>
      </c>
    </row>
    <row r="67" s="2" customFormat="1" ht="25.5" spans="1:7">
      <c r="A67" s="9">
        <v>66</v>
      </c>
      <c r="B67" s="11" t="s">
        <v>1039</v>
      </c>
      <c r="C67" s="9" t="s">
        <v>678</v>
      </c>
      <c r="D67" s="9" t="s">
        <v>1040</v>
      </c>
      <c r="E67" s="9" t="s">
        <v>680</v>
      </c>
      <c r="F67" s="17">
        <v>9763.92258064516</v>
      </c>
      <c r="G67" s="17">
        <v>16598.6683870968</v>
      </c>
    </row>
    <row r="68" s="2" customFormat="1" ht="25.5" spans="1:7">
      <c r="A68" s="9">
        <v>67</v>
      </c>
      <c r="B68" s="11" t="s">
        <v>677</v>
      </c>
      <c r="C68" s="9" t="s">
        <v>678</v>
      </c>
      <c r="D68" s="9" t="s">
        <v>1040</v>
      </c>
      <c r="E68" s="9" t="s">
        <v>680</v>
      </c>
      <c r="F68" s="17">
        <v>11571.9234408602</v>
      </c>
      <c r="G68" s="17">
        <v>19672.2698494624</v>
      </c>
    </row>
    <row r="69" s="2" customFormat="1" ht="25.5" spans="1:7">
      <c r="A69" s="9">
        <v>68</v>
      </c>
      <c r="B69" s="11" t="s">
        <v>1041</v>
      </c>
      <c r="C69" s="9" t="s">
        <v>1042</v>
      </c>
      <c r="D69" s="9" t="s">
        <v>1043</v>
      </c>
      <c r="E69" s="9" t="s">
        <v>647</v>
      </c>
      <c r="F69" s="17">
        <v>4425.67340501792</v>
      </c>
      <c r="G69" s="17">
        <v>7523.64478853047</v>
      </c>
    </row>
    <row r="70" s="2" customFormat="1" ht="25.5" spans="1:7">
      <c r="A70" s="9">
        <v>69</v>
      </c>
      <c r="B70" s="11" t="s">
        <v>1044</v>
      </c>
      <c r="C70" s="9" t="s">
        <v>645</v>
      </c>
      <c r="D70" s="9" t="s">
        <v>1045</v>
      </c>
      <c r="E70" s="9" t="s">
        <v>1046</v>
      </c>
      <c r="F70" s="17">
        <v>7572.88984468339</v>
      </c>
      <c r="G70" s="17">
        <v>12873.9127359618</v>
      </c>
    </row>
    <row r="71" s="2" customFormat="1" ht="25.5" spans="1:7">
      <c r="A71" s="9">
        <v>70</v>
      </c>
      <c r="B71" s="11" t="s">
        <v>1047</v>
      </c>
      <c r="C71" s="9" t="s">
        <v>1048</v>
      </c>
      <c r="D71" s="9" t="s">
        <v>974</v>
      </c>
      <c r="E71" s="9" t="s">
        <v>1049</v>
      </c>
      <c r="F71" s="17">
        <v>7894.09949820789</v>
      </c>
      <c r="G71" s="17">
        <v>13419.9691469534</v>
      </c>
    </row>
    <row r="72" s="2" customFormat="1" ht="25.5" spans="1:7">
      <c r="A72" s="9">
        <v>71</v>
      </c>
      <c r="B72" s="11" t="s">
        <v>1050</v>
      </c>
      <c r="C72" s="9" t="s">
        <v>1051</v>
      </c>
      <c r="D72" s="9" t="s">
        <v>1052</v>
      </c>
      <c r="E72" s="9" t="s">
        <v>1053</v>
      </c>
      <c r="F72" s="17">
        <v>5921.10642771804</v>
      </c>
      <c r="G72" s="17">
        <v>10065.8809271207</v>
      </c>
    </row>
    <row r="73" s="2" customFormat="1" ht="25.5" spans="1:7">
      <c r="A73" s="9">
        <v>72</v>
      </c>
      <c r="B73" s="11" t="s">
        <v>1054</v>
      </c>
      <c r="C73" s="9" t="s">
        <v>1055</v>
      </c>
      <c r="D73" s="9" t="s">
        <v>1056</v>
      </c>
      <c r="E73" s="9" t="s">
        <v>1057</v>
      </c>
      <c r="F73" s="17">
        <v>5693.49428912784</v>
      </c>
      <c r="G73" s="17">
        <v>9678.94029151732</v>
      </c>
    </row>
    <row r="74" s="2" customFormat="1" ht="25.5" spans="1:7">
      <c r="A74" s="9">
        <v>73</v>
      </c>
      <c r="B74" s="11" t="s">
        <v>1058</v>
      </c>
      <c r="C74" s="9" t="s">
        <v>1055</v>
      </c>
      <c r="D74" s="9" t="s">
        <v>1059</v>
      </c>
      <c r="E74" s="9" t="s">
        <v>1057</v>
      </c>
      <c r="F74" s="17">
        <v>4407.59206690562</v>
      </c>
      <c r="G74" s="17">
        <v>7492.90651373955</v>
      </c>
    </row>
    <row r="75" s="2" customFormat="1" ht="25.5" spans="1:7">
      <c r="A75" s="9">
        <v>74</v>
      </c>
      <c r="B75" s="11" t="s">
        <v>611</v>
      </c>
      <c r="C75" s="9" t="s">
        <v>612</v>
      </c>
      <c r="D75" s="9" t="s">
        <v>1060</v>
      </c>
      <c r="E75" s="9" t="s">
        <v>614</v>
      </c>
      <c r="F75" s="17">
        <v>5560.54327359618</v>
      </c>
      <c r="G75" s="17">
        <v>9452.9235651135</v>
      </c>
    </row>
    <row r="76" s="2" customFormat="1" ht="25.5" spans="1:7">
      <c r="A76" s="9">
        <v>75</v>
      </c>
      <c r="B76" s="11" t="s">
        <v>615</v>
      </c>
      <c r="C76" s="9" t="s">
        <v>612</v>
      </c>
      <c r="D76" s="9" t="s">
        <v>1061</v>
      </c>
      <c r="E76" s="9" t="s">
        <v>614</v>
      </c>
      <c r="F76" s="17">
        <v>4010.86623655914</v>
      </c>
      <c r="G76" s="17">
        <v>6818.47260215054</v>
      </c>
    </row>
    <row r="77" s="2" customFormat="1" spans="1:7">
      <c r="A77" s="9">
        <v>76</v>
      </c>
      <c r="B77" s="9" t="s">
        <v>1062</v>
      </c>
      <c r="C77" s="9" t="s">
        <v>1063</v>
      </c>
      <c r="D77" s="9" t="s">
        <v>1064</v>
      </c>
      <c r="E77" s="9" t="s">
        <v>647</v>
      </c>
      <c r="F77" s="17">
        <v>16455.0812903226</v>
      </c>
      <c r="G77" s="17">
        <v>27973.6381935484</v>
      </c>
    </row>
    <row r="78" s="2" customFormat="1" ht="25.5" spans="1:7">
      <c r="A78" s="9">
        <v>77</v>
      </c>
      <c r="B78" s="9" t="s">
        <v>1065</v>
      </c>
      <c r="C78" s="9" t="s">
        <v>642</v>
      </c>
      <c r="D78" s="9" t="s">
        <v>1066</v>
      </c>
      <c r="E78" s="9" t="s">
        <v>638</v>
      </c>
      <c r="F78" s="17">
        <v>6097.66537634409</v>
      </c>
      <c r="G78" s="17">
        <v>10366.0311397849</v>
      </c>
    </row>
    <row r="79" s="2" customFormat="1" spans="1:7">
      <c r="A79" s="9">
        <v>78</v>
      </c>
      <c r="B79" s="9" t="s">
        <v>1067</v>
      </c>
      <c r="C79" s="9" t="s">
        <v>1068</v>
      </c>
      <c r="D79" s="9" t="s">
        <v>1069</v>
      </c>
      <c r="E79" s="9" t="s">
        <v>647</v>
      </c>
      <c r="F79" s="17">
        <v>5840.27221027479</v>
      </c>
      <c r="G79" s="17">
        <v>9928.46275746714</v>
      </c>
    </row>
    <row r="80" s="4" customFormat="1" ht="25.5" spans="1:7">
      <c r="A80" s="9">
        <v>79</v>
      </c>
      <c r="B80" s="9" t="s">
        <v>1070</v>
      </c>
      <c r="C80" s="9" t="s">
        <v>142</v>
      </c>
      <c r="D80" s="9" t="s">
        <v>637</v>
      </c>
      <c r="E80" s="9" t="s">
        <v>638</v>
      </c>
      <c r="F80" s="17">
        <v>4073.08731182796</v>
      </c>
      <c r="G80" s="17">
        <v>6924.24843010753</v>
      </c>
    </row>
    <row r="81" s="4" customFormat="1" ht="25.5" spans="1:7">
      <c r="A81" s="9">
        <v>80</v>
      </c>
      <c r="B81" s="9" t="s">
        <v>1071</v>
      </c>
      <c r="C81" s="9" t="s">
        <v>142</v>
      </c>
      <c r="D81" s="9" t="s">
        <v>1072</v>
      </c>
      <c r="E81" s="9" t="s">
        <v>638</v>
      </c>
      <c r="F81" s="17">
        <v>3925.77758661888</v>
      </c>
      <c r="G81" s="17">
        <v>6673.82189725209</v>
      </c>
    </row>
    <row r="82" s="2" customFormat="1" spans="1:7">
      <c r="A82" s="9">
        <v>81</v>
      </c>
      <c r="B82" s="9" t="s">
        <v>1073</v>
      </c>
      <c r="C82" s="9" t="s">
        <v>1074</v>
      </c>
      <c r="D82" s="9" t="s">
        <v>1075</v>
      </c>
      <c r="E82" s="9" t="s">
        <v>647</v>
      </c>
      <c r="F82" s="17">
        <v>5302.08649940263</v>
      </c>
      <c r="G82" s="17">
        <v>9013.54704898447</v>
      </c>
    </row>
    <row r="83" s="2" customFormat="1" spans="1:7">
      <c r="A83" s="9">
        <v>82</v>
      </c>
      <c r="B83" s="9" t="s">
        <v>1076</v>
      </c>
      <c r="C83" s="9" t="s">
        <v>142</v>
      </c>
      <c r="D83" s="9" t="s">
        <v>637</v>
      </c>
      <c r="E83" s="9" t="s">
        <v>647</v>
      </c>
      <c r="F83" s="17">
        <v>4722.81892473118</v>
      </c>
      <c r="G83" s="17">
        <v>8028.79217204301</v>
      </c>
    </row>
    <row r="84" s="4" customFormat="1" spans="1:7">
      <c r="A84" s="9">
        <v>83</v>
      </c>
      <c r="B84" s="9" t="s">
        <v>1077</v>
      </c>
      <c r="C84" s="9" t="s">
        <v>142</v>
      </c>
      <c r="D84" s="9" t="s">
        <v>637</v>
      </c>
      <c r="E84" s="9" t="s">
        <v>1078</v>
      </c>
      <c r="F84" s="17">
        <v>4722.81892473118</v>
      </c>
      <c r="G84" s="17">
        <v>8028.79217204301</v>
      </c>
    </row>
    <row r="85" s="4" customFormat="1" ht="25.5" spans="1:7">
      <c r="A85" s="9">
        <v>84</v>
      </c>
      <c r="B85" s="9" t="s">
        <v>1079</v>
      </c>
      <c r="C85" s="9" t="s">
        <v>142</v>
      </c>
      <c r="D85" s="9" t="s">
        <v>1072</v>
      </c>
      <c r="E85" s="9" t="s">
        <v>638</v>
      </c>
      <c r="F85" s="17">
        <v>4540.54308243728</v>
      </c>
      <c r="G85" s="17">
        <v>7718.92324014337</v>
      </c>
    </row>
    <row r="86" s="4" customFormat="1" spans="1:7">
      <c r="A86" s="9">
        <v>85</v>
      </c>
      <c r="B86" s="9" t="s">
        <v>1080</v>
      </c>
      <c r="C86" s="9" t="s">
        <v>642</v>
      </c>
      <c r="D86" s="9" t="s">
        <v>1081</v>
      </c>
      <c r="E86" s="9">
        <v>2258</v>
      </c>
      <c r="F86" s="17">
        <v>12287.8646594982</v>
      </c>
      <c r="G86" s="17">
        <v>20889.369921147</v>
      </c>
    </row>
    <row r="87" s="2" customFormat="1" spans="1:7">
      <c r="A87" s="9">
        <v>86</v>
      </c>
      <c r="B87" s="9" t="s">
        <v>1082</v>
      </c>
      <c r="C87" s="9" t="s">
        <v>642</v>
      </c>
      <c r="D87" s="9" t="s">
        <v>1083</v>
      </c>
      <c r="E87" s="9">
        <v>2258</v>
      </c>
      <c r="F87" s="17">
        <v>11022.7027956989</v>
      </c>
      <c r="G87" s="17">
        <v>18738.5947526882</v>
      </c>
    </row>
    <row r="88" s="2" customFormat="1" spans="1:7">
      <c r="A88" s="9">
        <v>87</v>
      </c>
      <c r="B88" s="9" t="s">
        <v>1084</v>
      </c>
      <c r="C88" s="9" t="s">
        <v>1085</v>
      </c>
      <c r="D88" s="9" t="s">
        <v>1066</v>
      </c>
      <c r="E88" s="9" t="s">
        <v>1046</v>
      </c>
      <c r="F88" s="17">
        <v>5900.89787335723</v>
      </c>
      <c r="G88" s="17">
        <v>10031.5263847073</v>
      </c>
    </row>
    <row r="89" s="2" customFormat="1" spans="1:7">
      <c r="A89" s="9">
        <v>88</v>
      </c>
      <c r="B89" s="9" t="s">
        <v>686</v>
      </c>
      <c r="C89" s="9" t="s">
        <v>1086</v>
      </c>
      <c r="D89" s="9" t="s">
        <v>1072</v>
      </c>
      <c r="E89" s="9" t="s">
        <v>647</v>
      </c>
      <c r="F89" s="17">
        <v>2258.04004778973</v>
      </c>
      <c r="G89" s="17">
        <v>3838.66808124253</v>
      </c>
    </row>
    <row r="90" s="2" customFormat="1" spans="1:7">
      <c r="A90" s="9">
        <v>89</v>
      </c>
      <c r="B90" s="9" t="s">
        <v>1087</v>
      </c>
      <c r="C90" s="9" t="s">
        <v>666</v>
      </c>
      <c r="D90" s="9" t="s">
        <v>1088</v>
      </c>
      <c r="E90" s="9" t="s">
        <v>647</v>
      </c>
      <c r="F90" s="17">
        <v>3166.36138590203</v>
      </c>
      <c r="G90" s="17">
        <v>5382.81435603345</v>
      </c>
    </row>
    <row r="91" s="2" customFormat="1" spans="1:7">
      <c r="A91" s="9">
        <v>90</v>
      </c>
      <c r="B91" s="9" t="s">
        <v>665</v>
      </c>
      <c r="C91" s="9" t="s">
        <v>666</v>
      </c>
      <c r="D91" s="9" t="s">
        <v>667</v>
      </c>
      <c r="E91" s="9" t="s">
        <v>647</v>
      </c>
      <c r="F91" s="17">
        <v>5028.73921146953</v>
      </c>
      <c r="G91" s="17">
        <v>8548.85665949821</v>
      </c>
    </row>
    <row r="92" s="2" customFormat="1" spans="1:7">
      <c r="A92" s="9">
        <v>91</v>
      </c>
      <c r="B92" s="9" t="s">
        <v>1089</v>
      </c>
      <c r="C92" s="9" t="s">
        <v>666</v>
      </c>
      <c r="D92" s="9" t="s">
        <v>1090</v>
      </c>
      <c r="E92" s="9" t="s">
        <v>659</v>
      </c>
      <c r="F92" s="17">
        <v>14961.775483871</v>
      </c>
      <c r="G92" s="17">
        <v>25435.0183225806</v>
      </c>
    </row>
    <row r="93" s="2" customFormat="1" spans="1:7">
      <c r="A93" s="9">
        <v>92</v>
      </c>
      <c r="B93" s="9" t="s">
        <v>650</v>
      </c>
      <c r="C93" s="9" t="s">
        <v>651</v>
      </c>
      <c r="D93" s="9" t="s">
        <v>652</v>
      </c>
      <c r="E93" s="9" t="s">
        <v>1091</v>
      </c>
      <c r="F93" s="17">
        <v>10048.969557945</v>
      </c>
      <c r="G93" s="17">
        <v>17083.2482485066</v>
      </c>
    </row>
    <row r="94" s="2" customFormat="1" spans="1:7">
      <c r="A94" s="9">
        <v>93</v>
      </c>
      <c r="B94" s="9" t="s">
        <v>1092</v>
      </c>
      <c r="C94" s="9" t="s">
        <v>651</v>
      </c>
      <c r="D94" s="9" t="s">
        <v>652</v>
      </c>
      <c r="E94" s="9">
        <v>2257</v>
      </c>
      <c r="F94" s="17">
        <v>9713.93299880526</v>
      </c>
      <c r="G94" s="17">
        <v>16513.6860979689</v>
      </c>
    </row>
    <row r="95" s="2" customFormat="1" ht="25.5" spans="1:7">
      <c r="A95" s="9">
        <v>94</v>
      </c>
      <c r="B95" s="9" t="s">
        <v>653</v>
      </c>
      <c r="C95" s="9" t="s">
        <v>654</v>
      </c>
      <c r="D95" s="9" t="s">
        <v>1093</v>
      </c>
      <c r="E95" s="9" t="s">
        <v>638</v>
      </c>
      <c r="F95" s="17">
        <v>4981.94045400239</v>
      </c>
      <c r="G95" s="17">
        <v>8469.29877180406</v>
      </c>
    </row>
    <row r="96" s="2" customFormat="1" spans="1:7">
      <c r="A96" s="9">
        <v>95</v>
      </c>
      <c r="B96" s="9" t="s">
        <v>656</v>
      </c>
      <c r="C96" s="9" t="s">
        <v>657</v>
      </c>
      <c r="D96" s="9" t="s">
        <v>658</v>
      </c>
      <c r="E96" s="9" t="s">
        <v>659</v>
      </c>
      <c r="F96" s="17">
        <v>4534.16143369176</v>
      </c>
      <c r="G96" s="17">
        <v>7708.07443727599</v>
      </c>
    </row>
    <row r="97" s="2" customFormat="1" spans="1:7">
      <c r="A97" s="9">
        <v>96</v>
      </c>
      <c r="B97" s="9" t="s">
        <v>660</v>
      </c>
      <c r="C97" s="9" t="s">
        <v>661</v>
      </c>
      <c r="D97" s="9" t="s">
        <v>658</v>
      </c>
      <c r="E97" s="9" t="s">
        <v>659</v>
      </c>
      <c r="F97" s="17">
        <v>4653.28554360812</v>
      </c>
      <c r="G97" s="17">
        <v>7910.58542413381</v>
      </c>
    </row>
    <row r="98" s="2" customFormat="1" ht="25.5" spans="1:7">
      <c r="A98" s="9">
        <v>97</v>
      </c>
      <c r="B98" s="9" t="s">
        <v>617</v>
      </c>
      <c r="C98" s="9" t="s">
        <v>1094</v>
      </c>
      <c r="D98" s="9" t="s">
        <v>619</v>
      </c>
      <c r="E98" s="9" t="s">
        <v>638</v>
      </c>
      <c r="F98" s="17">
        <v>1802.81577060932</v>
      </c>
      <c r="G98" s="17">
        <v>3064.78681003584</v>
      </c>
    </row>
    <row r="99" s="2" customFormat="1" ht="25.5" spans="1:7">
      <c r="A99" s="9">
        <v>98</v>
      </c>
      <c r="B99" s="9" t="s">
        <v>621</v>
      </c>
      <c r="C99" s="9" t="s">
        <v>1094</v>
      </c>
      <c r="D99" s="9" t="s">
        <v>623</v>
      </c>
      <c r="E99" s="9" t="s">
        <v>638</v>
      </c>
      <c r="F99" s="17">
        <v>1480.54250896057</v>
      </c>
      <c r="G99" s="17">
        <v>2516.92226523298</v>
      </c>
    </row>
    <row r="100" s="2" customFormat="1" spans="1:7">
      <c r="A100" s="9">
        <v>99</v>
      </c>
      <c r="B100" s="9" t="s">
        <v>670</v>
      </c>
      <c r="C100" s="9" t="s">
        <v>671</v>
      </c>
      <c r="D100" s="9" t="s">
        <v>672</v>
      </c>
      <c r="E100" s="9" t="s">
        <v>673</v>
      </c>
      <c r="F100" s="17">
        <v>11177.4577777778</v>
      </c>
      <c r="G100" s="17">
        <v>19001.6782222222</v>
      </c>
    </row>
    <row r="101" s="2" customFormat="1" spans="1:7">
      <c r="A101" s="9">
        <v>100</v>
      </c>
      <c r="B101" s="9" t="s">
        <v>1095</v>
      </c>
      <c r="C101" s="9" t="s">
        <v>924</v>
      </c>
      <c r="D101" s="9" t="s">
        <v>1096</v>
      </c>
      <c r="E101" s="9" t="s">
        <v>1097</v>
      </c>
      <c r="F101" s="17">
        <v>6608.59612903226</v>
      </c>
      <c r="G101" s="18">
        <v>11234.6134193548</v>
      </c>
    </row>
    <row r="102" s="2" customFormat="1" spans="1:7">
      <c r="A102" s="9">
        <v>101</v>
      </c>
      <c r="B102" s="9" t="s">
        <v>1098</v>
      </c>
      <c r="C102" s="9" t="s">
        <v>888</v>
      </c>
      <c r="D102" s="9" t="s">
        <v>1099</v>
      </c>
      <c r="E102" s="9" t="s">
        <v>1023</v>
      </c>
      <c r="F102" s="17">
        <v>8040.87741935484</v>
      </c>
      <c r="G102" s="17">
        <v>13669.4916129032</v>
      </c>
    </row>
    <row r="103" s="2" customFormat="1" spans="1:7">
      <c r="A103" s="9">
        <v>102</v>
      </c>
      <c r="B103" s="9" t="s">
        <v>1100</v>
      </c>
      <c r="C103" s="9" t="s">
        <v>671</v>
      </c>
      <c r="D103" s="9" t="s">
        <v>1101</v>
      </c>
      <c r="E103" s="9" t="s">
        <v>429</v>
      </c>
      <c r="F103" s="17">
        <v>10700.8283870968</v>
      </c>
      <c r="G103" s="17">
        <v>18191.4082580645</v>
      </c>
    </row>
    <row r="104" s="2" customFormat="1" spans="1:7">
      <c r="A104" s="9">
        <v>103</v>
      </c>
      <c r="B104" s="9" t="s">
        <v>1102</v>
      </c>
      <c r="C104" s="9" t="s">
        <v>1103</v>
      </c>
      <c r="D104" s="9" t="s">
        <v>1104</v>
      </c>
      <c r="E104" s="9" t="s">
        <v>1046</v>
      </c>
      <c r="F104" s="17">
        <v>8639.15698924731</v>
      </c>
      <c r="G104" s="18">
        <v>14686.5668817204</v>
      </c>
    </row>
    <row r="105" s="2" customFormat="1" spans="1:7">
      <c r="A105" s="9">
        <v>104</v>
      </c>
      <c r="B105" s="9" t="s">
        <v>1105</v>
      </c>
      <c r="C105" s="9" t="s">
        <v>1103</v>
      </c>
      <c r="D105" s="9" t="s">
        <v>1106</v>
      </c>
      <c r="E105" s="9" t="s">
        <v>1046</v>
      </c>
      <c r="F105" s="17">
        <v>6704.32086021505</v>
      </c>
      <c r="G105" s="17">
        <v>11397.3454623656</v>
      </c>
    </row>
    <row r="106" s="2" customFormat="1" spans="1:7">
      <c r="A106" s="9">
        <v>105</v>
      </c>
      <c r="B106" s="9" t="s">
        <v>644</v>
      </c>
      <c r="C106" s="9" t="s">
        <v>645</v>
      </c>
      <c r="D106" s="9" t="s">
        <v>1107</v>
      </c>
      <c r="E106" s="9" t="s">
        <v>647</v>
      </c>
      <c r="F106" s="17">
        <v>2959.09075268817</v>
      </c>
      <c r="G106" s="17">
        <v>5030.45427956989</v>
      </c>
    </row>
    <row r="107" s="2" customFormat="1" spans="1:7">
      <c r="A107" s="9">
        <v>106</v>
      </c>
      <c r="B107" s="9" t="s">
        <v>648</v>
      </c>
      <c r="C107" s="9" t="s">
        <v>645</v>
      </c>
      <c r="D107" s="9" t="s">
        <v>1108</v>
      </c>
      <c r="E107" s="9" t="s">
        <v>579</v>
      </c>
      <c r="F107" s="17">
        <v>4349.49247311828</v>
      </c>
      <c r="G107" s="17">
        <v>7394.13720430108</v>
      </c>
    </row>
    <row r="108" s="2" customFormat="1" spans="1:7">
      <c r="A108" s="9">
        <v>107</v>
      </c>
      <c r="B108" s="9" t="s">
        <v>1109</v>
      </c>
      <c r="C108" s="9" t="s">
        <v>1110</v>
      </c>
      <c r="D108" s="9" t="s">
        <v>1111</v>
      </c>
      <c r="E108" s="9" t="s">
        <v>1112</v>
      </c>
      <c r="F108" s="17">
        <v>6905.34279569893</v>
      </c>
      <c r="G108" s="17">
        <v>11739.0827526882</v>
      </c>
    </row>
    <row r="109" s="2" customFormat="1" ht="15.75" spans="1:7">
      <c r="A109" s="9">
        <v>108</v>
      </c>
      <c r="B109" s="19" t="s">
        <v>1113</v>
      </c>
      <c r="C109" s="20" t="s">
        <v>666</v>
      </c>
      <c r="D109" s="19" t="s">
        <v>1114</v>
      </c>
      <c r="E109" s="21" t="s">
        <v>1115</v>
      </c>
      <c r="F109" s="22">
        <v>5887.07096774194</v>
      </c>
      <c r="G109" s="23">
        <v>10008.0206451613</v>
      </c>
    </row>
    <row r="110" s="2" customFormat="1" ht="14.25" spans="1:7">
      <c r="A110" s="9">
        <v>109</v>
      </c>
      <c r="B110" s="9" t="s">
        <v>1116</v>
      </c>
      <c r="C110" s="9" t="s">
        <v>1117</v>
      </c>
      <c r="D110" s="9" t="s">
        <v>1118</v>
      </c>
      <c r="E110" s="9" t="s">
        <v>1119</v>
      </c>
      <c r="F110" s="24">
        <v>10990.3956989247</v>
      </c>
      <c r="G110" s="24">
        <v>18683.672688172</v>
      </c>
    </row>
    <row r="111" s="2" customFormat="1" ht="14.25" spans="1:7">
      <c r="A111" s="9">
        <v>110</v>
      </c>
      <c r="B111" s="9" t="s">
        <v>1120</v>
      </c>
      <c r="C111" s="9" t="s">
        <v>1121</v>
      </c>
      <c r="D111" s="9" t="s">
        <v>1122</v>
      </c>
      <c r="E111" s="9" t="s">
        <v>1123</v>
      </c>
      <c r="F111" s="25">
        <v>8879.66537634409</v>
      </c>
      <c r="G111" s="17">
        <v>15095.4311397849</v>
      </c>
    </row>
    <row r="112" s="2" customFormat="1" ht="38.25" spans="1:7">
      <c r="A112" s="9">
        <v>111</v>
      </c>
      <c r="B112" s="9" t="s">
        <v>1124</v>
      </c>
      <c r="C112" s="9" t="s">
        <v>1125</v>
      </c>
      <c r="D112" s="9" t="s">
        <v>1126</v>
      </c>
      <c r="E112" s="9" t="s">
        <v>1127</v>
      </c>
      <c r="F112" s="26">
        <v>15254.9324731183</v>
      </c>
      <c r="G112" s="26">
        <v>25933.3852043011</v>
      </c>
    </row>
    <row r="113" s="2" customFormat="1" ht="25.5" spans="1:7">
      <c r="A113" s="9">
        <v>112</v>
      </c>
      <c r="B113" s="9" t="s">
        <v>1128</v>
      </c>
      <c r="C113" s="9" t="s">
        <v>1129</v>
      </c>
      <c r="D113" s="9" t="s">
        <v>1130</v>
      </c>
      <c r="E113" s="9" t="s">
        <v>1131</v>
      </c>
      <c r="F113" s="26">
        <v>6292.70451612903</v>
      </c>
      <c r="G113" s="26">
        <v>10697.5976774194</v>
      </c>
    </row>
    <row r="114" s="2" customFormat="1" ht="25.5" spans="1:7">
      <c r="A114" s="9">
        <v>113</v>
      </c>
      <c r="B114" s="9" t="s">
        <v>1132</v>
      </c>
      <c r="C114" s="27" t="s">
        <v>136</v>
      </c>
      <c r="D114" s="27" t="s">
        <v>1133</v>
      </c>
      <c r="E114" s="27" t="s">
        <v>1134</v>
      </c>
      <c r="F114" s="26">
        <v>9181.19827956989</v>
      </c>
      <c r="G114" s="26">
        <v>15608.0370752688</v>
      </c>
    </row>
    <row r="115" s="2" customFormat="1" ht="14.25" spans="1:7">
      <c r="A115" s="9">
        <v>114</v>
      </c>
      <c r="B115" s="9" t="s">
        <v>688</v>
      </c>
      <c r="C115" s="21" t="s">
        <v>689</v>
      </c>
      <c r="D115" s="28" t="s">
        <v>1135</v>
      </c>
      <c r="E115" s="21" t="s">
        <v>586</v>
      </c>
      <c r="F115" s="26">
        <v>15033.5690322581</v>
      </c>
      <c r="G115" s="26">
        <v>25557.0673548387</v>
      </c>
    </row>
    <row r="116" s="2" customFormat="1" ht="38.25" spans="1:7">
      <c r="A116" s="9">
        <v>115</v>
      </c>
      <c r="B116" s="9" t="s">
        <v>1136</v>
      </c>
      <c r="C116" s="9" t="s">
        <v>1137</v>
      </c>
      <c r="D116" s="9" t="s">
        <v>1138</v>
      </c>
      <c r="E116" s="9" t="s">
        <v>1139</v>
      </c>
      <c r="F116" s="26">
        <v>15999.1922580645</v>
      </c>
      <c r="G116" s="26">
        <v>27198.6268387097</v>
      </c>
    </row>
    <row r="117" s="2" customFormat="1" ht="14.25" spans="1:7">
      <c r="A117" s="9">
        <v>116</v>
      </c>
      <c r="B117" s="29" t="s">
        <v>1140</v>
      </c>
      <c r="C117" s="29" t="s">
        <v>1141</v>
      </c>
      <c r="D117" s="29" t="s">
        <v>1142</v>
      </c>
      <c r="E117" s="29" t="s">
        <v>1143</v>
      </c>
      <c r="F117" s="25">
        <v>4004.88344086021</v>
      </c>
      <c r="G117" s="25">
        <v>6808.30184946236</v>
      </c>
    </row>
    <row r="118" s="2" customFormat="1" ht="14.25" spans="1:7">
      <c r="A118" s="9">
        <v>117</v>
      </c>
      <c r="B118" s="29" t="s">
        <v>1144</v>
      </c>
      <c r="C118" s="29" t="s">
        <v>1145</v>
      </c>
      <c r="D118" s="29" t="s">
        <v>1146</v>
      </c>
      <c r="E118" s="29" t="s">
        <v>1143</v>
      </c>
      <c r="F118" s="25">
        <v>2613.28516129032</v>
      </c>
      <c r="G118" s="25">
        <v>4442.58477419355</v>
      </c>
    </row>
    <row r="119" s="2" customFormat="1" ht="14.25" spans="1:7">
      <c r="A119" s="9">
        <v>118</v>
      </c>
      <c r="B119" s="29" t="s">
        <v>1147</v>
      </c>
      <c r="C119" s="29" t="s">
        <v>1148</v>
      </c>
      <c r="D119" s="29" t="s">
        <v>1149</v>
      </c>
      <c r="E119" s="29" t="s">
        <v>1143</v>
      </c>
      <c r="F119" s="25">
        <v>3894.8</v>
      </c>
      <c r="G119" s="25">
        <v>6621.16</v>
      </c>
    </row>
    <row r="120" s="2" customFormat="1" ht="15" spans="1:7">
      <c r="A120" s="9">
        <v>119</v>
      </c>
      <c r="B120" s="9" t="s">
        <v>1150</v>
      </c>
      <c r="C120" s="9" t="s">
        <v>1151</v>
      </c>
      <c r="D120" s="9" t="s">
        <v>1152</v>
      </c>
      <c r="E120" s="30" t="s">
        <v>1153</v>
      </c>
      <c r="F120" s="9">
        <v>5135.52</v>
      </c>
      <c r="G120" s="25">
        <v>8730.8</v>
      </c>
    </row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Bedroom</vt:lpstr>
      <vt:lpstr>Wardrobe</vt:lpstr>
      <vt:lpstr>Flipkart</vt:lpstr>
      <vt:lpstr>CSI</vt:lpstr>
      <vt:lpstr>Sheet5</vt:lpstr>
      <vt:lpstr>CNT-MDF</vt:lpstr>
      <vt:lpstr>CNT01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pankag</dc:creator>
  <cp:lastModifiedBy>Veena</cp:lastModifiedBy>
  <dcterms:created xsi:type="dcterms:W3CDTF">2014-04-11T07:07:00Z</dcterms:created>
  <cp:lastPrinted>2016-04-13T11:19:00Z</cp:lastPrinted>
  <dcterms:modified xsi:type="dcterms:W3CDTF">2022-04-26T07:42:57Z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1033-11.2.0.11074</vt:lpwstr>
  </property>
  <property fmtid="{D5CDD505-2E9C-101B-9397-08002B2CF9AE}" pid="3" name="ICV">
    <vt:lpwstr>44E2B3D41C824575B7A52574C7426305</vt:lpwstr>
  </property>
</Properties>
</file>