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Bedroom" sheetId="8" r:id="rId1"/>
    <sheet name="Wardrobe" sheetId="2" r:id="rId2"/>
    <sheet name="Flipkart" sheetId="11" r:id="rId3"/>
    <sheet name="CSI" sheetId="5" r:id="rId4"/>
    <sheet name="Sheet5" sheetId="6" state="hidden" r:id="rId5"/>
    <sheet name="CNT-MDF" sheetId="7" r:id="rId6"/>
    <sheet name="CNT01" sheetId="9" r:id="rId7"/>
    <sheet name="Sheet1" sheetId="17" state="hidden" r:id="rId8"/>
  </sheets>
  <calcPr calcId="144525" concurrentCalc="0"/>
</workbook>
</file>

<file path=xl/sharedStrings.xml><?xml version="1.0" encoding="utf-8"?>
<sst xmlns="http://schemas.openxmlformats.org/spreadsheetml/2006/main" count="2242" uniqueCount="1148">
  <si>
    <t>S.No.</t>
  </si>
  <si>
    <t>Code</t>
  </si>
  <si>
    <t>Particulars</t>
  </si>
  <si>
    <t>Description</t>
  </si>
  <si>
    <t>Size (HxWxD)</t>
  </si>
  <si>
    <t>Colour</t>
  </si>
  <si>
    <t>MRP Price</t>
  </si>
  <si>
    <t>Dealer Price</t>
  </si>
  <si>
    <t>Special Price</t>
  </si>
  <si>
    <t>CS-138 (138.6 TS)</t>
  </si>
  <si>
    <t xml:space="preserve"> Bed  with Top Storage18mm  PPB &amp; HGL</t>
  </si>
  <si>
    <t>6 x 6 1/2</t>
  </si>
  <si>
    <t>CLOUD ASH HGL, DARK WALNUT HGL, DARK WALNUT</t>
  </si>
  <si>
    <t>CS-138 (138.5 TS)</t>
  </si>
  <si>
    <t xml:space="preserve"> Bed  with Top Storage 18mm  PPB &amp; HGL</t>
  </si>
  <si>
    <t>5 x 6 1/2</t>
  </si>
  <si>
    <t>CS-138 (138.6 NHDS)</t>
  </si>
  <si>
    <t>Bed with New Hydraulic 18mm  PPB &amp; HGL</t>
  </si>
  <si>
    <t>CS-138 (138.5 NHDS)</t>
  </si>
  <si>
    <t>Bed with New Hydraulic  18mm  PPB &amp; HGL</t>
  </si>
  <si>
    <t>CS-138 (138.4 P)</t>
  </si>
  <si>
    <t>Wardrobe 4 Door  18mm  PPB &amp; HGL</t>
  </si>
  <si>
    <t>1600(W) x 530(D) x 1935(H)</t>
  </si>
  <si>
    <t>CS-138 (DT-133)</t>
  </si>
  <si>
    <t>Dressing -18mm  PPB &amp; HGL</t>
  </si>
  <si>
    <t>700(W) x 400(D) x 1820(H)</t>
  </si>
  <si>
    <t>CS-138 (ST-134)</t>
  </si>
  <si>
    <t>Side Table-18mm  PPB &amp; HGL</t>
  </si>
  <si>
    <t>450(W) x 400(D) x 400(H)</t>
  </si>
  <si>
    <t>CS-137 (137.6 TS)</t>
  </si>
  <si>
    <t xml:space="preserve"> Bed  with Top Storage 18mm PPB &amp; HGL</t>
  </si>
  <si>
    <t>CLOUD ASH HGL, DARK WALNUT HGL, DARK WALNUT  PPB &amp; HGL</t>
  </si>
  <si>
    <t>CS-137 (137.5 TS)</t>
  </si>
  <si>
    <t>CS-137 (137.6 NHDS)</t>
  </si>
  <si>
    <t>Bed with New Hydraulic 18mm PPB &amp; HGL</t>
  </si>
  <si>
    <t>CS-137 (137.5 NHDS)</t>
  </si>
  <si>
    <t>CS-137 (137.4 P)</t>
  </si>
  <si>
    <t>Wardrobe 4 Door 18mm  PPB &amp; HGL</t>
  </si>
  <si>
    <t>CS-137 (DT-131)</t>
  </si>
  <si>
    <t>CS-137 (ST-132)</t>
  </si>
  <si>
    <t>CS-136 (136.6 TS)</t>
  </si>
  <si>
    <t xml:space="preserve"> Bed  with Top Storage 15mm Thick PPB</t>
  </si>
  <si>
    <t xml:space="preserve">BALENESE PINE + GREY BEECH </t>
  </si>
  <si>
    <t>CS-136 (136.5 TS)</t>
  </si>
  <si>
    <t xml:space="preserve"> Bed  with Top Storage  15mm Thick PPB</t>
  </si>
  <si>
    <t>CS-136 (136.2 P)</t>
  </si>
  <si>
    <t>2 Door Wardrobe   15mm Thick PPB</t>
  </si>
  <si>
    <t>800(W) x 520(D) x 1930(H)</t>
  </si>
  <si>
    <t>CS-136 (136.3 P)</t>
  </si>
  <si>
    <t>3 Door Wardrobe  15mm Thick PPB</t>
  </si>
  <si>
    <t>1200(W) x 520(D) x 1930(H)</t>
  </si>
  <si>
    <t>CS-136 (DT-129)</t>
  </si>
  <si>
    <t>Dressing Table  15mm Thick PPB</t>
  </si>
  <si>
    <t>700(W) x 400(D) x 1800(H)</t>
  </si>
  <si>
    <t>CS-136 (ST-130)</t>
  </si>
  <si>
    <t xml:space="preserve"> Side Table  15mm Thick PPB</t>
  </si>
  <si>
    <t>CS-135 (135.6 NHDS)</t>
  </si>
  <si>
    <t>Bed with New Hydraulic  18mm Thick PPB</t>
  </si>
  <si>
    <t xml:space="preserve">CARIO WALNUT +F. WHITE </t>
  </si>
  <si>
    <t>CS-135 (135.5 NHDS)</t>
  </si>
  <si>
    <t>CS-135 (135.4 P)</t>
  </si>
  <si>
    <t>4 Door Wardrobe   18mm PPB</t>
  </si>
  <si>
    <t>1600(W) x 520(D) x 2100(H)</t>
  </si>
  <si>
    <t>CS-135 (DT-127)</t>
  </si>
  <si>
    <t>Dressing Table 18mm Thick PPB</t>
  </si>
  <si>
    <t>800 (W)X 400 (D)X 1800(H)</t>
  </si>
  <si>
    <t>CS-135 (ST-128)</t>
  </si>
  <si>
    <t xml:space="preserve"> Side Table  18mm Thick PPB</t>
  </si>
  <si>
    <t>450(W) X 400(D) X 400(H)</t>
  </si>
  <si>
    <t>CS-134 (134.6 NHDS)</t>
  </si>
  <si>
    <t xml:space="preserve">DARK ACACIA +F. WHITE </t>
  </si>
  <si>
    <t>CS-134 (134.5 NHDS)</t>
  </si>
  <si>
    <t>CS-134 (134.2 SW)</t>
  </si>
  <si>
    <t>Sliding  Wardrobe  18mm Thick PPB</t>
  </si>
  <si>
    <t>1800(W) x 620(D) x 2100(H)</t>
  </si>
  <si>
    <t>CS-134 (DT-125)</t>
  </si>
  <si>
    <t>450(W) x 400(D) x 1800(H)</t>
  </si>
  <si>
    <t>CS-134 (ST-126)</t>
  </si>
  <si>
    <t xml:space="preserve"> Side Table   18mm Thick PPB</t>
  </si>
  <si>
    <t>450(W) x 400((D) x 750(H)</t>
  </si>
  <si>
    <t>CS-133 (133.6 NHDS)</t>
  </si>
  <si>
    <t>Bed with New Hydraulic 18mm Thick PPB</t>
  </si>
  <si>
    <t xml:space="preserve">BALENESE PINE + F. WHITE </t>
  </si>
  <si>
    <t>CS-133 (133.5 NHDS)</t>
  </si>
  <si>
    <t>CS-133 (133.2 SW)</t>
  </si>
  <si>
    <t>1805(W) x 625(D) x 2100(H)</t>
  </si>
  <si>
    <t>CS-133 (DT-123)</t>
  </si>
  <si>
    <t>CS-133 (ST-124)</t>
  </si>
  <si>
    <t xml:space="preserve"> Side Table 18mm Thick PPB</t>
  </si>
  <si>
    <t>CS-132 (132.6 TS)</t>
  </si>
  <si>
    <t xml:space="preserve">DARK WALNUT +CLOUD ASH +F. WHITE </t>
  </si>
  <si>
    <t>CS-132 (132.5 TS)</t>
  </si>
  <si>
    <t>CS-132 (132.3 P)</t>
  </si>
  <si>
    <t>3 Door Wardrobe 15mm Thick PPB</t>
  </si>
  <si>
    <t>CS-132 (132.2 P)</t>
  </si>
  <si>
    <t>2 Door Wardrobe  15mm Thick PPB</t>
  </si>
  <si>
    <t>CS-132 (DT-121)</t>
  </si>
  <si>
    <t>Dressing Table 15mm Thick PPB</t>
  </si>
  <si>
    <t>500(W) x 400(D) x 1800(H)</t>
  </si>
  <si>
    <t>CS-132 (ST-122)</t>
  </si>
  <si>
    <t xml:space="preserve"> Side Table 15mm Thick PPB</t>
  </si>
  <si>
    <t>CS-131 (131.6 NHDS)</t>
  </si>
  <si>
    <t>Bed with New Hydraulic  in 15mm Thick PPB</t>
  </si>
  <si>
    <t>VERGIN OAK FB+ F. WHITE</t>
  </si>
  <si>
    <t>CS-131 (131.5 NHDS)</t>
  </si>
  <si>
    <t>CS-131 (131.3 P)</t>
  </si>
  <si>
    <t>3 Door Wardrobe  in 15mm Thick PPB</t>
  </si>
  <si>
    <t>1270(W) x 515(D) x 2100(H)</t>
  </si>
  <si>
    <t>CS-131 (131.2 P)</t>
  </si>
  <si>
    <t>2 Door Wardrobe   in 15mm Thick PPB</t>
  </si>
  <si>
    <t>870(W) x 515(D) x 2100(H)</t>
  </si>
  <si>
    <t>CS-131 (DT-119)</t>
  </si>
  <si>
    <t>Dressing Table  in 15mm Thick PPB</t>
  </si>
  <si>
    <t>700(W) x 400(D)x1815(H)</t>
  </si>
  <si>
    <t>CS-131 (ST-120)</t>
  </si>
  <si>
    <t xml:space="preserve"> Side Table  in 15mm Thick PPB</t>
  </si>
  <si>
    <t>450(W) x 400(D) x 605(H)</t>
  </si>
  <si>
    <t>CS-130 (130.3RE)</t>
  </si>
  <si>
    <t>Bed Without storage</t>
  </si>
  <si>
    <t>3X6 ½</t>
  </si>
  <si>
    <t xml:space="preserve"> Salmon Pink + Traffic Grey+Frosty White</t>
  </si>
  <si>
    <t>CS-130 (130.6NHDS)</t>
  </si>
  <si>
    <t>Bed with New Hydraulic</t>
  </si>
  <si>
    <t>  6x 6 ½</t>
  </si>
  <si>
    <t>CS-130 (130.5NHDS)</t>
  </si>
  <si>
    <t>  5 x 6 ½</t>
  </si>
  <si>
    <t>CS-130 (130.6 TS)</t>
  </si>
  <si>
    <t>Bed with Top Storage</t>
  </si>
  <si>
    <t> 6x 6 ½</t>
  </si>
  <si>
    <t>CS-130 (130.5 TS)</t>
  </si>
  <si>
    <t> 5x 6 ½</t>
  </si>
  <si>
    <t>CS-130 (130.2 P)</t>
  </si>
  <si>
    <t>Wardrobe 2 Door</t>
  </si>
  <si>
    <t xml:space="preserve"> 800(W)x475(D)x1935(H)</t>
  </si>
  <si>
    <t>CS-130 (DT-116)</t>
  </si>
  <si>
    <t>Dressing Table</t>
  </si>
  <si>
    <t xml:space="preserve"> 450(W)x400(D)x1800(H)</t>
  </si>
  <si>
    <t>CS-130 (ST-117)</t>
  </si>
  <si>
    <t>Side Table</t>
  </si>
  <si>
    <t>450(W) x 400(D) x 450(H)</t>
  </si>
  <si>
    <t>CS-130 (STU-118)</t>
  </si>
  <si>
    <t>Study Table</t>
  </si>
  <si>
    <t>900(W)x600(D)x1350(H)</t>
  </si>
  <si>
    <t>CS-127 (127.5 NHDS)</t>
  </si>
  <si>
    <t>Wallnut (4039) + Cloud Ash</t>
  </si>
  <si>
    <t>CS-127 (127.6 NHDS)</t>
  </si>
  <si>
    <t> 6 x 6 ½</t>
  </si>
  <si>
    <t>CS-127 (127.4 )P</t>
  </si>
  <si>
    <t>Wardrobe 4 Door</t>
  </si>
  <si>
    <t>2100 Hx530 Dx1800 W</t>
  </si>
  <si>
    <t>CS-127 (DT-112)</t>
  </si>
  <si>
    <t>1800 Hx600 Wx400 D</t>
  </si>
  <si>
    <t>CS-127 (ST-114)</t>
  </si>
  <si>
    <t>400 H x 400 Dx 450 W</t>
  </si>
  <si>
    <t>CS-126 (126.5 NHDS)</t>
  </si>
  <si>
    <t xml:space="preserve">Wallnut (4039) + Black HGL </t>
  </si>
  <si>
    <t>CS-126 (126.6 NHDS)</t>
  </si>
  <si>
    <t>WL-65</t>
  </si>
  <si>
    <t>Wardrobe Sliding 2 Door</t>
  </si>
  <si>
    <t>1800 x 620 x 2100</t>
  </si>
  <si>
    <t>CS-126 (DT-111)</t>
  </si>
  <si>
    <t>1915 H x 500 W x 450 D</t>
  </si>
  <si>
    <t>CS-126 (ST-113)</t>
  </si>
  <si>
    <t>400 Hx 400 D x 450 W</t>
  </si>
  <si>
    <t>CS-123 (123.5 NHDS)</t>
  </si>
  <si>
    <r>
      <rPr>
        <sz val="10"/>
        <rFont val="Cambria"/>
        <charset val="0"/>
      </rPr>
      <t xml:space="preserve">5 x 6 </t>
    </r>
    <r>
      <rPr>
        <sz val="10"/>
        <rFont val="Arial"/>
        <charset val="0"/>
      </rPr>
      <t>½</t>
    </r>
  </si>
  <si>
    <t xml:space="preserve">NEOTON WOOD + F.WHITE </t>
  </si>
  <si>
    <t>CS-123 (123.6 NHDS)</t>
  </si>
  <si>
    <r>
      <rPr>
        <sz val="10"/>
        <rFont val="Cambria"/>
        <charset val="0"/>
      </rPr>
      <t xml:space="preserve">6 x 6 </t>
    </r>
    <r>
      <rPr>
        <sz val="10"/>
        <rFont val="Arial"/>
        <charset val="0"/>
      </rPr>
      <t>½</t>
    </r>
  </si>
  <si>
    <t>WL-64</t>
  </si>
  <si>
    <t>Sliding Wardrobe 2 Door</t>
  </si>
  <si>
    <t>CS-123 (DT-109)</t>
  </si>
  <si>
    <t xml:space="preserve">Dressing Table </t>
  </si>
  <si>
    <t>750 W x400 D x1800 H</t>
  </si>
  <si>
    <t>CS-123 (ST-111)</t>
  </si>
  <si>
    <t xml:space="preserve">Side Table </t>
  </si>
  <si>
    <t>476 Wx420 Dx1100 H</t>
  </si>
  <si>
    <t>CS-122 (122.5 NHDS)</t>
  </si>
  <si>
    <t>D.EBONY + SILVER FOIL</t>
  </si>
  <si>
    <t>CS-122 (122.6 NHDS)</t>
  </si>
  <si>
    <t>CS-122 (122.3 P)</t>
  </si>
  <si>
    <t>Wardrobe 3 Door</t>
  </si>
  <si>
    <t xml:space="preserve">1200 W x520 D x1935 H </t>
  </si>
  <si>
    <t>CS-122 (122.2 P)</t>
  </si>
  <si>
    <t>800 W x520 D x1935 H</t>
  </si>
  <si>
    <t>CS-122 (DT-108)</t>
  </si>
  <si>
    <t>800 H x400 D x1800 W</t>
  </si>
  <si>
    <t>CS-122 (ST-110)</t>
  </si>
  <si>
    <t>700 H x450 W x400 D</t>
  </si>
  <si>
    <t>CS-121 (121.5 TS)</t>
  </si>
  <si>
    <t>Bed with Top Storage 15 mm</t>
  </si>
  <si>
    <t>Cloud ash + D. Walnut HGL</t>
  </si>
  <si>
    <t>CS-121 (121.6 TS)</t>
  </si>
  <si>
    <t>CS-121 (121.3 P)</t>
  </si>
  <si>
    <t>Wardrobe 3 Door 15 mm</t>
  </si>
  <si>
    <t>CS-121 (121.2 P)</t>
  </si>
  <si>
    <t>Wardrobe 2 Door 15 mm</t>
  </si>
  <si>
    <t>CS-121 (DT-107)</t>
  </si>
  <si>
    <t>Dressing Table 15 mm</t>
  </si>
  <si>
    <t>450 D x460 W x1800 H</t>
  </si>
  <si>
    <t>CS-121 (ST-109)</t>
  </si>
  <si>
    <t>Side Table 15 mm</t>
  </si>
  <si>
    <t>450 H x450 D x450 W</t>
  </si>
  <si>
    <t>CS-120 (120.3 RE)</t>
  </si>
  <si>
    <t>Bed Without storage 18 mm</t>
  </si>
  <si>
    <r>
      <rPr>
        <sz val="10"/>
        <rFont val="Cambria"/>
        <charset val="0"/>
      </rPr>
      <t xml:space="preserve">3 x 6 </t>
    </r>
    <r>
      <rPr>
        <sz val="10"/>
        <rFont val="Arial"/>
        <charset val="0"/>
      </rPr>
      <t>½</t>
    </r>
  </si>
  <si>
    <t>Walnut + Wenge (4039+858)</t>
  </si>
  <si>
    <t>CS-120 (120.4 RE)</t>
  </si>
  <si>
    <r>
      <rPr>
        <sz val="10"/>
        <rFont val="Cambria"/>
        <charset val="0"/>
      </rPr>
      <t xml:space="preserve">4 x 6 </t>
    </r>
    <r>
      <rPr>
        <sz val="10"/>
        <rFont val="Arial"/>
        <charset val="0"/>
      </rPr>
      <t>½</t>
    </r>
  </si>
  <si>
    <t>Walnut + Wenge (4039+859)</t>
  </si>
  <si>
    <t>CS-120 (120.5 RE)</t>
  </si>
  <si>
    <t>Walnut + Wenge (4039+860)</t>
  </si>
  <si>
    <t>Walnut + Wenge (4039+861)</t>
  </si>
  <si>
    <t>CS-120 (120.5 TS)</t>
  </si>
  <si>
    <t>Queen Bed With Top storage</t>
  </si>
  <si>
    <t>Walnut + Wenge (4039+862)</t>
  </si>
  <si>
    <t>CS-120 (120.6 TS)</t>
  </si>
  <si>
    <t>King  Bed With Top storage</t>
  </si>
  <si>
    <t>Walnut + Wenge (4039+863)</t>
  </si>
  <si>
    <t>CS-120 (120.3 P)</t>
  </si>
  <si>
    <t>Wardrobe 3 Door with Mirror 15 mm</t>
  </si>
  <si>
    <t>1935 H X485 D  X 1200 W</t>
  </si>
  <si>
    <t>Walnut + Wenge (4039+864)</t>
  </si>
  <si>
    <t>CS-120 (120.2 P)</t>
  </si>
  <si>
    <t>Wardrobe 2 Door  with Mirror 15 mm</t>
  </si>
  <si>
    <t>1935 H X485 D  X 900 W</t>
  </si>
  <si>
    <t>Walnut + Wenge (4039+865)</t>
  </si>
  <si>
    <t>CS-120 (ST-108)</t>
  </si>
  <si>
    <t>450 H x 450 D  x 450 W</t>
  </si>
  <si>
    <t>Walnut + Wenge (4039+866)</t>
  </si>
  <si>
    <t>FK-531</t>
  </si>
  <si>
    <t xml:space="preserve"> Bed  with Top Storage 15 mm</t>
  </si>
  <si>
    <t>5X6.5</t>
  </si>
  <si>
    <t xml:space="preserve">Dark ELM </t>
  </si>
  <si>
    <t>FK-531 A</t>
  </si>
  <si>
    <t xml:space="preserve"> Bed with Top Storage 15 mm</t>
  </si>
  <si>
    <t>6X6.5</t>
  </si>
  <si>
    <t>CS-118 (118.3 P)</t>
  </si>
  <si>
    <t>1200Wx485DX1930H</t>
  </si>
  <si>
    <t>CS-118 (DT-105)</t>
  </si>
  <si>
    <t>1915 H X450 D X500 W</t>
  </si>
  <si>
    <t>CS-118 (ST-107)</t>
  </si>
  <si>
    <t>Side Table- 15 mm</t>
  </si>
  <si>
    <t>450 Wx400 H x400 D</t>
  </si>
  <si>
    <t>FK-524</t>
  </si>
  <si>
    <t xml:space="preserve"> Bed with Top Storage 15mm</t>
  </si>
  <si>
    <t>5 x 6 ½</t>
  </si>
  <si>
    <t>Dark ELM + 2257</t>
  </si>
  <si>
    <t>FK-524 A</t>
  </si>
  <si>
    <t>6 x 6 ½</t>
  </si>
  <si>
    <t>CS-117 (117.2 P)</t>
  </si>
  <si>
    <t>900Wx485DX1930H</t>
  </si>
  <si>
    <t>CS-117 (117.2 .1M)</t>
  </si>
  <si>
    <t>Wardrobe 2 Door with Mirror 15 mm</t>
  </si>
  <si>
    <t>CS-117 (DT-104)</t>
  </si>
  <si>
    <t>500 W x 400 D  x 1730 H</t>
  </si>
  <si>
    <t>CS-117 (ST-106)</t>
  </si>
  <si>
    <t>Side Table-15 mm</t>
  </si>
  <si>
    <t>450 W x400 H x400 D</t>
  </si>
  <si>
    <t>CS-116 (116.5 NHDS)</t>
  </si>
  <si>
    <t>Dark Wallnut + PA-105</t>
  </si>
  <si>
    <t>CS-116 (116.6 NHDS)</t>
  </si>
  <si>
    <t>CS-116 (116.3 P)</t>
  </si>
  <si>
    <t>1200 W x 520 D x 2100 H</t>
  </si>
  <si>
    <t>CS-116 (DT-103)</t>
  </si>
  <si>
    <t>500  W x 400 D x 1900 H</t>
  </si>
  <si>
    <t>CS-116 (ST-105)</t>
  </si>
  <si>
    <t>500  W x 400 D  x 400 H</t>
  </si>
  <si>
    <t>CS-115 (22.3)</t>
  </si>
  <si>
    <t>Diwan with Shutter</t>
  </si>
  <si>
    <t>2  ½ x 6</t>
  </si>
  <si>
    <t>BT</t>
  </si>
  <si>
    <t>CS-112 (112.5 TS)</t>
  </si>
  <si>
    <t>Bed with Top Storage 15mm</t>
  </si>
  <si>
    <t>Cloud Ash and D. wallnut HGL</t>
  </si>
  <si>
    <t>CS-112 (112.6 TS)</t>
  </si>
  <si>
    <t>CS-112 (112.2 P)</t>
  </si>
  <si>
    <t>Wardrobe 2 Door 15mm</t>
  </si>
  <si>
    <t xml:space="preserve">800 W x530 D x1935 H </t>
  </si>
  <si>
    <t>CS-112 (111.3 P)</t>
  </si>
  <si>
    <t xml:space="preserve"> Wardrobe 3 Door 15mm</t>
  </si>
  <si>
    <t>1200 W x530 D x1935 H</t>
  </si>
  <si>
    <t>CS-112 (DT-100)</t>
  </si>
  <si>
    <t>Dressing Table 15mm</t>
  </si>
  <si>
    <t>1800 H x 450 D x 450 W</t>
  </si>
  <si>
    <t>CS-112 (ST-102)</t>
  </si>
  <si>
    <t>Side Table 15mm</t>
  </si>
  <si>
    <t>450 H x 450 Dx 450 W</t>
  </si>
  <si>
    <t>CS-110 (110.5 NHDS)</t>
  </si>
  <si>
    <t>Bed with New Hydraulic 15mm</t>
  </si>
  <si>
    <t xml:space="preserve">Virgin Oak + D. Wallnut </t>
  </si>
  <si>
    <t>CS-110 (110.6 NHDS)</t>
  </si>
  <si>
    <t>CS-110 (110.3 P)</t>
  </si>
  <si>
    <t xml:space="preserve">Wardrobe 3 door 15mm  </t>
  </si>
  <si>
    <t>CS-110 (DT-98)</t>
  </si>
  <si>
    <t>450 W x400 D x1820 H</t>
  </si>
  <si>
    <t>CS-110 (ST-100)</t>
  </si>
  <si>
    <t>450 H x400 D x450 W</t>
  </si>
  <si>
    <t>CS-109 (109.5 NHDS)</t>
  </si>
  <si>
    <r>
      <rPr>
        <sz val="12"/>
        <rFont val="Cambria"/>
        <charset val="0"/>
      </rPr>
      <t xml:space="preserve">5 x 6 </t>
    </r>
    <r>
      <rPr>
        <sz val="12"/>
        <rFont val="Arial"/>
        <charset val="0"/>
      </rPr>
      <t>½</t>
    </r>
  </si>
  <si>
    <t>D.ebony +Dream White+PU Black HGL</t>
  </si>
  <si>
    <t>CS-109 (109.6 NHDS)</t>
  </si>
  <si>
    <r>
      <rPr>
        <sz val="12"/>
        <rFont val="Cambria"/>
        <charset val="0"/>
      </rPr>
      <t xml:space="preserve">6 x 6 </t>
    </r>
    <r>
      <rPr>
        <sz val="12"/>
        <rFont val="Arial"/>
        <charset val="0"/>
      </rPr>
      <t>½</t>
    </r>
  </si>
  <si>
    <t>CS-109 (109.3 P)</t>
  </si>
  <si>
    <t>1200 W x520 D x2100 H</t>
  </si>
  <si>
    <t>CS-109 (DT-97)</t>
  </si>
  <si>
    <t>745 W x400 D x1875 H</t>
  </si>
  <si>
    <t>CS-109 (ST-99)</t>
  </si>
  <si>
    <t>CS-107 (107.5 NHDS)</t>
  </si>
  <si>
    <t xml:space="preserve">Prelam Particle 858 + Polished </t>
  </si>
  <si>
    <t>CS-107 (107.6 NHDS)</t>
  </si>
  <si>
    <t>CS-107 (83.3 P)</t>
  </si>
  <si>
    <t>1350 W x520 D x2100 H</t>
  </si>
  <si>
    <t>CS-107 (83.4 P)</t>
  </si>
  <si>
    <t xml:space="preserve">1800 W x520 D x2100 H </t>
  </si>
  <si>
    <t>CS-107 (DT-95)</t>
  </si>
  <si>
    <t>700 W x400 D x1855 H</t>
  </si>
  <si>
    <t>CS-107 (ST-97)</t>
  </si>
  <si>
    <t>500 W x400 D x450 H</t>
  </si>
  <si>
    <t>CS-103 (103.5 NHDS)</t>
  </si>
  <si>
    <t>2257+Wenge Foil</t>
  </si>
  <si>
    <t>CS-103 (103.6 NHDS)</t>
  </si>
  <si>
    <t>CS-103 (103.3 P)</t>
  </si>
  <si>
    <t>1200 W x580 D x2200 H</t>
  </si>
  <si>
    <t>CS-103 (DT-92)</t>
  </si>
  <si>
    <t>800 W x400 D x1800 H</t>
  </si>
  <si>
    <t>CS-103 (ST-94)</t>
  </si>
  <si>
    <t>450 W x400 D x400 H</t>
  </si>
  <si>
    <t>CS-98 (SCB- 5)</t>
  </si>
  <si>
    <t>Sofa cum bed without Mattress</t>
  </si>
  <si>
    <t>5 x 6 1/4</t>
  </si>
  <si>
    <t>Cario Wallnut + 2247 (Dream White)</t>
  </si>
  <si>
    <t>CS-98 (SCB- 6)</t>
  </si>
  <si>
    <t>6 x 6 1/4</t>
  </si>
  <si>
    <t>CS-98 (Mattress-5)</t>
  </si>
  <si>
    <t>only Mattress 5Ft</t>
  </si>
  <si>
    <t>Cloud Ash-Frosty White</t>
  </si>
  <si>
    <t>CS-98 (Mattress-6)</t>
  </si>
  <si>
    <t>only Mattress 6Ft</t>
  </si>
  <si>
    <t>CS-96 (96.5 NHDS)</t>
  </si>
  <si>
    <t>CS-96 (96.6 NHDS)</t>
  </si>
  <si>
    <t>CS-96 (96.3 P)</t>
  </si>
  <si>
    <t>1200(W)x530(D)x2100(H)</t>
  </si>
  <si>
    <t>CS-96 (DT-88)</t>
  </si>
  <si>
    <t>700(W)x400(D)x1800(H)</t>
  </si>
  <si>
    <t>CS-96 (ST-90)</t>
  </si>
  <si>
    <t>450(W)x400(D)x400(H)</t>
  </si>
  <si>
    <t>CS-75 (75.5 NHDS)</t>
  </si>
  <si>
    <t>2257 + Glossy Black</t>
  </si>
  <si>
    <t>CS-75 (75.6 NHDS)</t>
  </si>
  <si>
    <t>CS-75N (68.3P)</t>
  </si>
  <si>
    <t>Wardrobe 3 door</t>
  </si>
  <si>
    <t>CS-75 (DT-67)</t>
  </si>
  <si>
    <t>800 W x 400 D x 1800 H</t>
  </si>
  <si>
    <t>CS-75 (ST-70)</t>
  </si>
  <si>
    <t>450 H x 400 D x 450 W</t>
  </si>
  <si>
    <t>CS-72 (72.5 NHDS)</t>
  </si>
  <si>
    <t>Dark Wallnut + PU White</t>
  </si>
  <si>
    <t>CS-72 (72.6 NHDS)</t>
  </si>
  <si>
    <t>CS-72 N (65.3 P)</t>
  </si>
  <si>
    <t>1200 W x 520 D  x 2100 H</t>
  </si>
  <si>
    <t>CS-72 (DT-64)</t>
  </si>
  <si>
    <t>600 W x 400 D  x 1800 H</t>
  </si>
  <si>
    <t>CS-72 (ST-67)</t>
  </si>
  <si>
    <t>500 W x 400 D x 400 H</t>
  </si>
  <si>
    <t>CS-62 (62.5 NHDS)</t>
  </si>
  <si>
    <t>2258-2257 -858</t>
  </si>
  <si>
    <t>CS-62  (62.6 NHDS)</t>
  </si>
  <si>
    <t>CS-62N (56.3P)</t>
  </si>
  <si>
    <t>2100 H x1200 W x 520 D</t>
  </si>
  <si>
    <t>CS-62 (DT-55)</t>
  </si>
  <si>
    <t>1920 H x 600 W x 400 D</t>
  </si>
  <si>
    <t>CS-62 (ST-58)</t>
  </si>
  <si>
    <t>CS-52 (52.5 NHDS)</t>
  </si>
  <si>
    <t xml:space="preserve">4039 + F.White </t>
  </si>
  <si>
    <t>CS-52 (52.6 NHDS)</t>
  </si>
  <si>
    <t>CS-52 (DT-45)</t>
  </si>
  <si>
    <t>450 D X 600 W X 1890 H</t>
  </si>
  <si>
    <t>CS-52 (ST-48)</t>
  </si>
  <si>
    <t>450 D X 450 W X 1000 H</t>
  </si>
  <si>
    <t>CS-38 (37.5 JD)</t>
  </si>
  <si>
    <t>Bed with Jumbo Drawer 15mm</t>
  </si>
  <si>
    <t>5 X 6 1/2</t>
  </si>
  <si>
    <t>Wenge 858</t>
  </si>
  <si>
    <t>CS-38 (37.6 JD)</t>
  </si>
  <si>
    <t>6 X 6 1/2</t>
  </si>
  <si>
    <t>CS-38 (31.3 P)</t>
  </si>
  <si>
    <t>1935 H x 1200 W x 470 D</t>
  </si>
  <si>
    <t>CS-38 (DT-30)</t>
  </si>
  <si>
    <t>1800 H x 700 W x 400 D</t>
  </si>
  <si>
    <t>CS-38 (ST-33)</t>
  </si>
  <si>
    <t>600 W x 450 H x 400 D</t>
  </si>
  <si>
    <t>CS-29 (28.5 NHDS)</t>
  </si>
  <si>
    <t>858 + PA-108</t>
  </si>
  <si>
    <t>CS-29 (28.6 NHDS)</t>
  </si>
  <si>
    <t>CS-29 (DT-21)</t>
  </si>
  <si>
    <t>1855H x 800 Wx 400 D</t>
  </si>
  <si>
    <t>CS-29 (ST-24)</t>
  </si>
  <si>
    <t>400 D x 450 Hx 450 W</t>
  </si>
  <si>
    <t>CS-26 (26.5 TS)</t>
  </si>
  <si>
    <t>CS-26 (26.6 TS)</t>
  </si>
  <si>
    <t>CS-26 (20.2 P)</t>
  </si>
  <si>
    <t>Wardrobe (15mm) 2 door  15mm</t>
  </si>
  <si>
    <t>800W x 470D x 1915H</t>
  </si>
  <si>
    <t>CS-26 (DT-19)</t>
  </si>
  <si>
    <t>1900H x 500W x 450D</t>
  </si>
  <si>
    <t>CS-26 ( ST-22)</t>
  </si>
  <si>
    <t>400H x 450D x 440W</t>
  </si>
  <si>
    <t>CS-26 (26.5 NHDS)</t>
  </si>
  <si>
    <t>CS-26 (26.6 NHDS)</t>
  </si>
  <si>
    <t>CS-26 (20.3 P)</t>
  </si>
  <si>
    <t>1200W x 470D x 1915H</t>
  </si>
  <si>
    <t>CS-20 (SCB- 5)</t>
  </si>
  <si>
    <t>Sofa cum bed with Storage</t>
  </si>
  <si>
    <t>Walnut+Wenge (4039+858)</t>
  </si>
  <si>
    <t>CS-20 (SCB- 6)</t>
  </si>
  <si>
    <t>CS-20 (Mattress-5)</t>
  </si>
  <si>
    <t>CS-20 (Mattress-6)</t>
  </si>
  <si>
    <t>CS-19 (22.3)</t>
  </si>
  <si>
    <t>Diwan with Top Storage</t>
  </si>
  <si>
    <t>2 1/2 x 6</t>
  </si>
  <si>
    <t>BT-Foil</t>
  </si>
  <si>
    <t>CS-19 (22.3A)</t>
  </si>
  <si>
    <t>3 x 6</t>
  </si>
  <si>
    <t>CS-19 (22.4)</t>
  </si>
  <si>
    <t>4 x 6</t>
  </si>
  <si>
    <t>MD-201 (201.5 HDS)</t>
  </si>
  <si>
    <t xml:space="preserve"> Bed with full Hydraulic</t>
  </si>
  <si>
    <t>WENGE</t>
  </si>
  <si>
    <t>MD-201 (201.6 HDS)</t>
  </si>
  <si>
    <t>Bed with Full  Hydraulic</t>
  </si>
  <si>
    <t>MD-201 (201.3 P)</t>
  </si>
  <si>
    <t>1935H x 1200W x 520D</t>
  </si>
  <si>
    <t>MD-201 (201.2 P)</t>
  </si>
  <si>
    <t>Wardrobe 2 door</t>
  </si>
  <si>
    <t>1935H x 800W x 520D</t>
  </si>
  <si>
    <t>MD-201 (DT-201)</t>
  </si>
  <si>
    <t>1800 Hx 600W x 400D</t>
  </si>
  <si>
    <t>MD-201 (ST-201)</t>
  </si>
  <si>
    <t>400H x 450W x 400D</t>
  </si>
  <si>
    <t>MD-202 (202.5 HDS)</t>
  </si>
  <si>
    <t>Bed with full Hydraulic</t>
  </si>
  <si>
    <t>WENGE + LIGHT BROWN</t>
  </si>
  <si>
    <t>MD-202 (202.6 HDS)</t>
  </si>
  <si>
    <t>MD-202 (202.3 P)</t>
  </si>
  <si>
    <t>MD-202 (202.2 P)</t>
  </si>
  <si>
    <t>MD-202 (DT-202)</t>
  </si>
  <si>
    <t>MD-202 (ST-202)</t>
  </si>
  <si>
    <t>MD-203 (203.5 HDS)</t>
  </si>
  <si>
    <t>MD-203 (203.6 HDS)</t>
  </si>
  <si>
    <t>MD-203 (203.3 P)</t>
  </si>
  <si>
    <t>MD-203 (203.2 P)</t>
  </si>
  <si>
    <t>MD-203 (DT-203)</t>
  </si>
  <si>
    <t>1800H x 675W x 400D</t>
  </si>
  <si>
    <t>MD-203 (ST-203)</t>
  </si>
  <si>
    <t>875H x 535W X 450D</t>
  </si>
  <si>
    <t>MD-204 (204.5 HDS)</t>
  </si>
  <si>
    <t>DARK BROWN</t>
  </si>
  <si>
    <t>MD-204 (204.6 HDS)</t>
  </si>
  <si>
    <t>MD-204 (204.3 P)</t>
  </si>
  <si>
    <t>MD-204 (204.2 P)</t>
  </si>
  <si>
    <t>MD-204 (DT-204)</t>
  </si>
  <si>
    <t>MD-204 (ST-204)</t>
  </si>
  <si>
    <t>MD-205 (205.5 HDS)</t>
  </si>
  <si>
    <t>MD-205 (205.6 HDS)</t>
  </si>
  <si>
    <t>MD-205 (205.3 P)</t>
  </si>
  <si>
    <t>1935H  x 1200W x 520D</t>
  </si>
  <si>
    <t>MD-205 (205.2 P)</t>
  </si>
  <si>
    <t>1935H  x 800W x 520D</t>
  </si>
  <si>
    <t>MD-205 (DT-205)</t>
  </si>
  <si>
    <t>1800H x 600W x 400D</t>
  </si>
  <si>
    <t>MD-205 (ST-205)</t>
  </si>
  <si>
    <t>700H x 500W x 400D</t>
  </si>
  <si>
    <t>MD-206 (206.5 HDS)</t>
  </si>
  <si>
    <t>DARK BROWN + LIGHT BROWN</t>
  </si>
  <si>
    <t>MD-206 (206.6 HDS)</t>
  </si>
  <si>
    <t>MD-206 (206.3 P)</t>
  </si>
  <si>
    <t>MD-206 (206.2 P)</t>
  </si>
  <si>
    <t>MD-206 (DT-206)</t>
  </si>
  <si>
    <t>MD-206 (ST-206)</t>
  </si>
  <si>
    <t>MD-207 (207.5 HDS)</t>
  </si>
  <si>
    <t>MD-207 (207.6 HDS)</t>
  </si>
  <si>
    <t>MD-207 (207.3 P)</t>
  </si>
  <si>
    <t>MD-207 (207.2 P)</t>
  </si>
  <si>
    <t>MD-207 (DT-207)</t>
  </si>
  <si>
    <t>1800H x 800W x 400D</t>
  </si>
  <si>
    <t>MD-207 (ST-207)</t>
  </si>
  <si>
    <t>MD-208 (208.5 HDS)</t>
  </si>
  <si>
    <t>MD-208 (208.6 HDS)</t>
  </si>
  <si>
    <t>MD-208 (208.3 P)</t>
  </si>
  <si>
    <t>MD-208 (208.2 P)</t>
  </si>
  <si>
    <t>MD-208 (DT-208)</t>
  </si>
  <si>
    <t>MD-208 (ST-208)</t>
  </si>
  <si>
    <t>MD-209 (209.5 HDS)</t>
  </si>
  <si>
    <t>MD-209 (209.6 HDS)</t>
  </si>
  <si>
    <t>MD-209 (209.3 P)</t>
  </si>
  <si>
    <t>1935H x 1200W x 520 D</t>
  </si>
  <si>
    <t>MD-209 (209.2 P)</t>
  </si>
  <si>
    <t>1935H x 800W x 520 D</t>
  </si>
  <si>
    <t>MD-209 (DT-209)</t>
  </si>
  <si>
    <t>MD-209 (ST-209)</t>
  </si>
  <si>
    <t>550H x 450W x 400D</t>
  </si>
  <si>
    <t>MD-210 (210.5 HDS)</t>
  </si>
  <si>
    <t>WENGE + DARK BROWN</t>
  </si>
  <si>
    <t>MD-210 (210.6 HDS)</t>
  </si>
  <si>
    <t>MD-210 (210.3 P)</t>
  </si>
  <si>
    <t>MD-210 (210.2 P)</t>
  </si>
  <si>
    <t>MD-210 (DT-210)</t>
  </si>
  <si>
    <t>MD-210 (ST-210)</t>
  </si>
  <si>
    <t>MD-211 (211.5 HDS)</t>
  </si>
  <si>
    <t>MD-211 (211.6 HDS)</t>
  </si>
  <si>
    <t>MD-211 (211.3 P)</t>
  </si>
  <si>
    <t>MD-211 (211.2 P)</t>
  </si>
  <si>
    <t>MD-211 (DT-211)</t>
  </si>
  <si>
    <t>1800H x700W x 400D</t>
  </si>
  <si>
    <t>MD-211 (ST-211)</t>
  </si>
  <si>
    <t>MD-212 (212.5 HDS)</t>
  </si>
  <si>
    <t>MD-212 (212.6 HDS)</t>
  </si>
  <si>
    <t>MD-212 (212.3 P)</t>
  </si>
  <si>
    <t>MD-212 (212.2 P)</t>
  </si>
  <si>
    <t>MD-212 (DT-212)</t>
  </si>
  <si>
    <t>MD-212 (ST-212)</t>
  </si>
  <si>
    <t>MD-213 (213.5 HDS)</t>
  </si>
  <si>
    <t>MD-213 (213.6 HDS)</t>
  </si>
  <si>
    <t>MD-213 (213.3 P)</t>
  </si>
  <si>
    <t>MD-213 (213.2 P)</t>
  </si>
  <si>
    <t>MD-213 (DT-213)</t>
  </si>
  <si>
    <t>MD-213 (ST-213)</t>
  </si>
  <si>
    <t>MD-214 (214.5 HDS)</t>
  </si>
  <si>
    <t>DARK BROWN +LIGHT BROWN</t>
  </si>
  <si>
    <t>MD-214 (214.6 HDS)</t>
  </si>
  <si>
    <t>MD-214 (214.3 P)</t>
  </si>
  <si>
    <t>MD-214 (214.2 P)</t>
  </si>
  <si>
    <t>MD-214 (DT-214)</t>
  </si>
  <si>
    <t>MD-214 (ST-214)</t>
  </si>
  <si>
    <t>MD-215 (215.5 HDS)</t>
  </si>
  <si>
    <t>MD-215 (215.6 HDS)</t>
  </si>
  <si>
    <t>MD-215 (215.3 P)</t>
  </si>
  <si>
    <t>MD-215 (215.2 P)</t>
  </si>
  <si>
    <t>MD-215 (DT-215)</t>
  </si>
  <si>
    <t>1800H x 700W x 400D</t>
  </si>
  <si>
    <t>MD-215 (ST-215)</t>
  </si>
  <si>
    <t>MD-216 (216.5 HDS)</t>
  </si>
  <si>
    <t>MD-216 (216.6 HDS)</t>
  </si>
  <si>
    <t>MD-216 (216.3 P)</t>
  </si>
  <si>
    <t>MD-216 (216.2 P)</t>
  </si>
  <si>
    <t>MD-216 (DT-216)</t>
  </si>
  <si>
    <t>MD-216 (ST-216)</t>
  </si>
  <si>
    <t>WL-35 (with Mirror)</t>
  </si>
  <si>
    <r>
      <rPr>
        <sz val="12"/>
        <color theme="1"/>
        <rFont val="Cambria"/>
        <charset val="0"/>
      </rPr>
      <t>Wardrobe 2 Door with</t>
    </r>
    <r>
      <rPr>
        <sz val="12"/>
        <color rgb="FF000000"/>
        <rFont val="Cambria"/>
        <charset val="0"/>
      </rPr>
      <t xml:space="preserve"> 
</t>
    </r>
  </si>
  <si>
    <t>1935Hx 800W x 470D</t>
  </si>
  <si>
    <t>WL-36 (with Mirror)</t>
  </si>
  <si>
    <r>
      <rPr>
        <sz val="12"/>
        <color theme="1"/>
        <rFont val="Cambria"/>
        <charset val="0"/>
      </rPr>
      <t>Wardrobe 3 Door with</t>
    </r>
    <r>
      <rPr>
        <b/>
        <sz val="12"/>
        <color rgb="FF800000"/>
        <rFont val="Cambria"/>
        <charset val="0"/>
      </rPr>
      <t xml:space="preserve"> 
</t>
    </r>
  </si>
  <si>
    <t>1935H x 1200 W x 470D</t>
  </si>
  <si>
    <t>WL-43- Magna</t>
  </si>
  <si>
    <t xml:space="preserve">Wardrobe 3 Door </t>
  </si>
  <si>
    <t>1935 H x 1800 W  x 600 D</t>
  </si>
  <si>
    <t>N.wood +f. white +black leather </t>
  </si>
  <si>
    <t>4039+black </t>
  </si>
  <si>
    <t>WL-63 A</t>
  </si>
  <si>
    <t>2 Door Sliding wardrobe</t>
  </si>
  <si>
    <t>858 wp+ f. white </t>
  </si>
  <si>
    <t>WL-63 B</t>
  </si>
  <si>
    <t>4039 + f. white </t>
  </si>
  <si>
    <t>WL-50 A</t>
  </si>
  <si>
    <t>Wardrobe 2 Door with mirror 15 mm</t>
  </si>
  <si>
    <t>800Wx435DX1830H</t>
  </si>
  <si>
    <t>WL-51 A</t>
  </si>
  <si>
    <t>WL-52 A</t>
  </si>
  <si>
    <t>Item Code</t>
  </si>
  <si>
    <t>Size</t>
  </si>
  <si>
    <t xml:space="preserve">Colour </t>
  </si>
  <si>
    <t>DP Price</t>
  </si>
  <si>
    <t>FK-520</t>
  </si>
  <si>
    <t xml:space="preserve">SIDE BOARD </t>
  </si>
  <si>
    <t xml:space="preserve">1380 H x1200 W x400 D </t>
  </si>
  <si>
    <t>Cario Wallnut</t>
  </si>
  <si>
    <t>FK-527</t>
  </si>
  <si>
    <t>BAR CABINET</t>
  </si>
  <si>
    <t>750 W X350 D X1000 H</t>
  </si>
  <si>
    <t>FK-529</t>
  </si>
  <si>
    <t>SIDE BOARD</t>
  </si>
  <si>
    <t xml:space="preserve">1200 WX400 D X750 H </t>
  </si>
  <si>
    <t>Cairo Wallnut</t>
  </si>
  <si>
    <t>FK-519</t>
  </si>
  <si>
    <t xml:space="preserve">CROCKERY UNIT TALL </t>
  </si>
  <si>
    <t xml:space="preserve">1900 H x800 W x380 D </t>
  </si>
  <si>
    <t>FK-522</t>
  </si>
  <si>
    <t xml:space="preserve">TV UNIT </t>
  </si>
  <si>
    <t xml:space="preserve">1800 H x1985 W x390 D </t>
  </si>
  <si>
    <t>FK-523</t>
  </si>
  <si>
    <t xml:space="preserve">500 H x1200 W x400 D </t>
  </si>
  <si>
    <t>Dark ELM + WHITE</t>
  </si>
  <si>
    <t>FK-526</t>
  </si>
  <si>
    <t>TV UNIT</t>
  </si>
  <si>
    <t xml:space="preserve">1500 W x 390  D x 1710 H </t>
  </si>
  <si>
    <t>FK-525</t>
  </si>
  <si>
    <t xml:space="preserve">1800 H  x 400 D  x 1800 W </t>
  </si>
  <si>
    <t>Dark ELM + 10007</t>
  </si>
  <si>
    <t>FK-504</t>
  </si>
  <si>
    <t>Coffe Table</t>
  </si>
  <si>
    <t xml:space="preserve">380 H x1180 W x600 D </t>
  </si>
  <si>
    <t>4039+858</t>
  </si>
  <si>
    <t>CSI-28</t>
  </si>
  <si>
    <t>Sitting Shoe Rack With Cushion</t>
  </si>
  <si>
    <t>800 Wx 390 D x 450 H</t>
  </si>
  <si>
    <t>Wenge (858)</t>
  </si>
  <si>
    <t>CSI-57 A</t>
  </si>
  <si>
    <t>Shoe Rack With Drawer</t>
  </si>
  <si>
    <t>1200 W x400 D x600 H</t>
  </si>
  <si>
    <t>Wenge + Walnut (858 + 4039)</t>
  </si>
  <si>
    <t>CSI-57 B</t>
  </si>
  <si>
    <t>800 W x400 D x600 H</t>
  </si>
  <si>
    <t>CSI-75</t>
  </si>
  <si>
    <t>Corner Unit</t>
  </si>
  <si>
    <t>400wx400Dx1500H</t>
  </si>
  <si>
    <t>Wenge (858)/Burma Teak</t>
  </si>
  <si>
    <t>CSI-76</t>
  </si>
  <si>
    <t xml:space="preserve">Corner Unit </t>
  </si>
  <si>
    <t>400wx400Dx1200H</t>
  </si>
  <si>
    <t>CSI-2</t>
  </si>
  <si>
    <t>Study Table with drawer</t>
  </si>
  <si>
    <t>1080Wx1200Hx400D</t>
  </si>
  <si>
    <t>Wenge (858)+4039</t>
  </si>
  <si>
    <t>CSI-5</t>
  </si>
  <si>
    <t>Study Table With Rack</t>
  </si>
  <si>
    <t>900Wx600Dx1500H</t>
  </si>
  <si>
    <t>CSI-14</t>
  </si>
  <si>
    <t>Study Table with 3 Drawer</t>
  </si>
  <si>
    <t>1200Wx600Dx750H</t>
  </si>
  <si>
    <t>CSI- 19</t>
  </si>
  <si>
    <t>1500 H x 1200 W x 600 D</t>
  </si>
  <si>
    <t>CSI-61</t>
  </si>
  <si>
    <t>750 H X 900 W X 450 D</t>
  </si>
  <si>
    <t>Wenge or Burma Teak</t>
  </si>
  <si>
    <t>CSI-63</t>
  </si>
  <si>
    <t xml:space="preserve">Wenge </t>
  </si>
  <si>
    <t>CSI-64</t>
  </si>
  <si>
    <t>Office Table</t>
  </si>
  <si>
    <t>750 H X 1500 W X 750 D</t>
  </si>
  <si>
    <t>CSI-83</t>
  </si>
  <si>
    <t>Book Shelf</t>
  </si>
  <si>
    <t xml:space="preserve">600 W x330 D x812 H </t>
  </si>
  <si>
    <t>Wenge</t>
  </si>
  <si>
    <t>CSI-84</t>
  </si>
  <si>
    <t xml:space="preserve">600 W x350 D x1650 H </t>
  </si>
  <si>
    <t>CSI-70</t>
  </si>
  <si>
    <t>Book Rack</t>
  </si>
  <si>
    <t>800Wx430DX1925H</t>
  </si>
  <si>
    <t>CSI-72</t>
  </si>
  <si>
    <t>Storage (15mm prealm)</t>
  </si>
  <si>
    <t>600 Wx380Dx1485H</t>
  </si>
  <si>
    <t>CSI-73</t>
  </si>
  <si>
    <t>Tall Book Rack-Half Glass</t>
  </si>
  <si>
    <t>400Wx420DX1825H</t>
  </si>
  <si>
    <t>2258+2257</t>
  </si>
  <si>
    <t>CSI-74</t>
  </si>
  <si>
    <t>Tall Book Rack</t>
  </si>
  <si>
    <t>CSI-32</t>
  </si>
  <si>
    <t xml:space="preserve">T.V Unit </t>
  </si>
  <si>
    <t>710 H x 450 Dx 1280 W</t>
  </si>
  <si>
    <t>CSI-68</t>
  </si>
  <si>
    <t>TV Unit</t>
  </si>
  <si>
    <t>1180Wx440DX635H</t>
  </si>
  <si>
    <t>CSI-13</t>
  </si>
  <si>
    <t>1200Wx390Dx630H</t>
  </si>
  <si>
    <t>CSI-77</t>
  </si>
  <si>
    <t>TV unit</t>
  </si>
  <si>
    <t>1350Wx450DX1910H</t>
  </si>
  <si>
    <t>858+Red</t>
  </si>
  <si>
    <t>WTV-6</t>
  </si>
  <si>
    <t>Wall TV Unit</t>
  </si>
  <si>
    <t>1580 H   x 1550 W x 400 D</t>
  </si>
  <si>
    <t>CSI-50 A</t>
  </si>
  <si>
    <t>Oria TV Unit</t>
  </si>
  <si>
    <t xml:space="preserve">1800 W x 400 D  x 1657 H </t>
  </si>
  <si>
    <t>Virgin oak</t>
  </si>
  <si>
    <t>CSI-29</t>
  </si>
  <si>
    <t>Centre Table</t>
  </si>
  <si>
    <t xml:space="preserve">850 W x 420 H x 590 D </t>
  </si>
  <si>
    <t>CSI-30</t>
  </si>
  <si>
    <t xml:space="preserve">450 H x 800 W x 450 D </t>
  </si>
  <si>
    <t>CSI-66</t>
  </si>
  <si>
    <t>900 W x 450 Dx 470 H</t>
  </si>
  <si>
    <t>CSI-92</t>
  </si>
  <si>
    <t>CROCKERY UNIT TALL</t>
  </si>
  <si>
    <t>1040 D X 450 W X1950 H</t>
  </si>
  <si>
    <t xml:space="preserve">  BEDROOM PRICE LIST</t>
  </si>
  <si>
    <t>MRP price</t>
  </si>
  <si>
    <t>Dp Price</t>
  </si>
  <si>
    <t>WTV-4</t>
  </si>
  <si>
    <t>1500 x 1200 x 600</t>
  </si>
  <si>
    <t>1580 x 1550 x 400</t>
  </si>
  <si>
    <t>SHR 4.1</t>
  </si>
  <si>
    <t>Shoerack with Cushion</t>
  </si>
  <si>
    <t>900 x 350 x 500</t>
  </si>
  <si>
    <t xml:space="preserve">SHR 4.2 </t>
  </si>
  <si>
    <t>1200 x 350 x 500</t>
  </si>
  <si>
    <t>CT-2</t>
  </si>
  <si>
    <t>Computer Table</t>
  </si>
  <si>
    <t>900 x 580 x 750</t>
  </si>
  <si>
    <t>CT-9 A</t>
  </si>
  <si>
    <t xml:space="preserve">1200 x 600 x 750 </t>
  </si>
  <si>
    <t>CT-12</t>
  </si>
  <si>
    <t>1935 x 600 x 900</t>
  </si>
  <si>
    <t>CU-1</t>
  </si>
  <si>
    <t>340 x 800 x 270</t>
  </si>
  <si>
    <t>SC-C</t>
  </si>
  <si>
    <t>Side Credenza with 2 drw &amp; shutter,18MM Prelam (color-858)</t>
  </si>
  <si>
    <t>900 x 400 x 750</t>
  </si>
  <si>
    <t>CKU</t>
  </si>
  <si>
    <t>Crockery Unit</t>
  </si>
  <si>
    <t>800 x 460 x 1935</t>
  </si>
  <si>
    <t>CNT-1</t>
  </si>
  <si>
    <t>830 x 430 x 450</t>
  </si>
  <si>
    <t>CNT-2</t>
  </si>
  <si>
    <t>430 x 430 x 450</t>
  </si>
  <si>
    <t>CNT-3</t>
  </si>
  <si>
    <t>800 x 500 x 450</t>
  </si>
  <si>
    <t>CNT-208</t>
  </si>
  <si>
    <t>1000 (L) x 500 (D) x 450 (H)</t>
  </si>
  <si>
    <t>CNT-209</t>
  </si>
  <si>
    <t>CNT-210</t>
  </si>
  <si>
    <t>858+PA-108</t>
  </si>
  <si>
    <t>CNT-211</t>
  </si>
  <si>
    <t>D. Walnut</t>
  </si>
  <si>
    <t xml:space="preserve"> </t>
  </si>
  <si>
    <t>CNT-212</t>
  </si>
  <si>
    <t>Centre Table with 2 drawer</t>
  </si>
  <si>
    <t>1200 (L) x 600 (D) x 520 (H)</t>
  </si>
  <si>
    <t>CNT-213</t>
  </si>
  <si>
    <t>Centre Table With Shelf</t>
  </si>
  <si>
    <t>Cario Walnut</t>
  </si>
  <si>
    <t>CNT-214</t>
  </si>
  <si>
    <t>Centre Table Without  Shelf</t>
  </si>
  <si>
    <t>CNT-215</t>
  </si>
  <si>
    <t>750 x 750 x 400</t>
  </si>
  <si>
    <t>Off White</t>
  </si>
  <si>
    <t>CNT-216</t>
  </si>
  <si>
    <t>750 W x 750 D X 400 H</t>
  </si>
  <si>
    <t>Wenge 858 + Frosty White</t>
  </si>
  <si>
    <t>CNT-217</t>
  </si>
  <si>
    <t>900Wx500Dx450H</t>
  </si>
  <si>
    <t>992+White</t>
  </si>
  <si>
    <t>CNT-218</t>
  </si>
  <si>
    <t>1000Wx500Dx450H</t>
  </si>
  <si>
    <t>Dark Wallnut</t>
  </si>
  <si>
    <t>CNT-219</t>
  </si>
  <si>
    <t>900Wx500Dx425H</t>
  </si>
  <si>
    <t>CNT-220</t>
  </si>
  <si>
    <t>Folding Centre Table</t>
  </si>
  <si>
    <t>600Lx400Wx457H</t>
  </si>
  <si>
    <t>Walnut</t>
  </si>
  <si>
    <t>CNT-221</t>
  </si>
  <si>
    <t>1000 (W) x 500 (D) x 460 (H)</t>
  </si>
  <si>
    <t>Cario wallunut + F white-</t>
  </si>
  <si>
    <t>CNT-222</t>
  </si>
  <si>
    <t>460 (H)X1200(W)X600 (D)</t>
  </si>
  <si>
    <t>CNT-223</t>
  </si>
  <si>
    <t>460 (H)X1000(W)X500 (D)</t>
  </si>
  <si>
    <t>Cario wallunut + F White</t>
  </si>
  <si>
    <t>CNT-224</t>
  </si>
  <si>
    <t>Dark Ebony +Fwhite</t>
  </si>
  <si>
    <t>CNT-225</t>
  </si>
  <si>
    <t>Cario wallunut + F white</t>
  </si>
  <si>
    <t>CNT-226</t>
  </si>
  <si>
    <t>460 (H) X 1000 (W) X 500 (D)</t>
  </si>
  <si>
    <t>CNT-227</t>
  </si>
  <si>
    <t>Centre Table(Prelam MDF)</t>
  </si>
  <si>
    <t>460 (H) X 1000 (W) X 500(D)</t>
  </si>
  <si>
    <t>CNT-228</t>
  </si>
  <si>
    <t xml:space="preserve">460 (H) X 1000 (W) X 500 </t>
  </si>
  <si>
    <t>Cario wallunut + FWhite</t>
  </si>
  <si>
    <t>CNT-229</t>
  </si>
  <si>
    <t>460 (H) X 1000 (W)X 500 (D)</t>
  </si>
  <si>
    <t>CNT-230</t>
  </si>
  <si>
    <t>900(D)X900(W)X450(H)</t>
  </si>
  <si>
    <t>C walnut +MP-04 Fabric</t>
  </si>
  <si>
    <t>CNT-701 -Wenge</t>
  </si>
  <si>
    <t>MDF Centre Table With Shelf</t>
  </si>
  <si>
    <t>400Dx900Wx450H</t>
  </si>
  <si>
    <t>Wenge+Ceramic White</t>
  </si>
  <si>
    <t>CNT-702-Wenge</t>
  </si>
  <si>
    <t>420Dx900Wx450H</t>
  </si>
  <si>
    <t>CNT-703-Wenge</t>
  </si>
  <si>
    <t>400Hx1200Wx600D</t>
  </si>
  <si>
    <t>CNT-704-Wenge</t>
  </si>
  <si>
    <t>400Hx900Wx450D</t>
  </si>
  <si>
    <t>CNT-204-Wenge</t>
  </si>
  <si>
    <t>MDF Center Table</t>
  </si>
  <si>
    <t xml:space="preserve"> 600WX600DX480H</t>
  </si>
  <si>
    <t>CNT-205-Wenge</t>
  </si>
  <si>
    <t>1200WX600DX450H</t>
  </si>
  <si>
    <t>MTV - 401 -WENGE</t>
  </si>
  <si>
    <t xml:space="preserve">MDF TV UNIT </t>
  </si>
  <si>
    <t>1200Wx400Dx500H</t>
  </si>
  <si>
    <t>MTV - 402 -WENGE</t>
  </si>
  <si>
    <t>1375Wx400Dx500H</t>
  </si>
  <si>
    <t>MTV - 403 -WENGE</t>
  </si>
  <si>
    <t>1500Wx400Dx500H</t>
  </si>
  <si>
    <t>MTV - 404-WENGE</t>
  </si>
  <si>
    <t>MTV - 405-WENGE</t>
  </si>
  <si>
    <t>MTV - 406-WENGE</t>
  </si>
  <si>
    <t>1810Wx400Dx490H</t>
  </si>
  <si>
    <t>MCD - 501-WENGE</t>
  </si>
  <si>
    <t xml:space="preserve">MDF Chest of Drawer with 4 Drawer </t>
  </si>
  <si>
    <t>780Wx430Dx1020H</t>
  </si>
  <si>
    <t>MCD - 502 -WENGE</t>
  </si>
  <si>
    <t xml:space="preserve">MDF Chest of Drawer with 3 Drawer </t>
  </si>
  <si>
    <t>780Wx430Dx795H</t>
  </si>
  <si>
    <t>MCD - 503 -WENGE</t>
  </si>
  <si>
    <t>750Wx450Dx775H</t>
  </si>
  <si>
    <t>MCD - 504-WENGE</t>
  </si>
  <si>
    <t>MSC - 601-WENGE</t>
  </si>
  <si>
    <t>MDF Storage Cabinet with Drawer + Shutter</t>
  </si>
  <si>
    <t>750Wx450Dx800H</t>
  </si>
  <si>
    <t>MSC - 602-WENGE</t>
  </si>
  <si>
    <t xml:space="preserve">MDF Storage Cabinet with 2 Drawer + Glass Cut Shutter </t>
  </si>
  <si>
    <t>MSC - 603-WENGE</t>
  </si>
  <si>
    <t>MDF Storage Cabinet with 4 Drawer + 2 SH</t>
  </si>
  <si>
    <t>1200Wx480Dx775H</t>
  </si>
  <si>
    <t>MSC - 604-WENGE</t>
  </si>
  <si>
    <t>MDF Storage Cabinet with 4 Drawer +  SH</t>
  </si>
  <si>
    <t>1190Wx430Dx1000H</t>
  </si>
  <si>
    <t>MSC - 605-WENGE</t>
  </si>
  <si>
    <t>MSC - 606-WENGE</t>
  </si>
  <si>
    <t>MSC - 607-WENGE</t>
  </si>
  <si>
    <t>MDF Storage Cabinet with 4 Drawer</t>
  </si>
  <si>
    <t>1500W x 450D x 780H</t>
  </si>
  <si>
    <t>MSC - 608-WENGE</t>
  </si>
  <si>
    <t>MDF Storage Cabinet with Drawer + SH</t>
  </si>
  <si>
    <t>1500WX450DX780H</t>
  </si>
  <si>
    <t>MSC - 609-WENGE</t>
  </si>
  <si>
    <t>MDF Storage Cabinet</t>
  </si>
  <si>
    <t>749WX480DX850H</t>
  </si>
  <si>
    <t>MSC - 610-WENGE</t>
  </si>
  <si>
    <t>1200x475x850</t>
  </si>
  <si>
    <t>MCT - 701-WENGE</t>
  </si>
  <si>
    <t>1200Wx600Dx400H</t>
  </si>
  <si>
    <t>MCT - 702-WENGE</t>
  </si>
  <si>
    <t>900Wx450Dx400H</t>
  </si>
  <si>
    <t>MCT - 703-WENGE</t>
  </si>
  <si>
    <t>1200Wx600Dx440H</t>
  </si>
  <si>
    <t>MCT - 704 A-WENGE</t>
  </si>
  <si>
    <t>1000WX450DX400H</t>
  </si>
  <si>
    <t>MCT - 704 B-WENGE</t>
  </si>
  <si>
    <t>750WX450DX400H</t>
  </si>
  <si>
    <t>MCT - 705-WENGE</t>
  </si>
  <si>
    <t>1000WX450DX450H</t>
  </si>
  <si>
    <t>CSI-47-A-Wenge</t>
  </si>
  <si>
    <t>Center Table with PU white Top &amp;
wooden leg Melamine Polish</t>
  </si>
  <si>
    <t>665 W x 375 D  x 510 H</t>
  </si>
  <si>
    <t>wenge + Ceramic White</t>
  </si>
  <si>
    <t>CSI-47-B-Wenge</t>
  </si>
  <si>
    <t>535 W x 355 D  x 490 H</t>
  </si>
  <si>
    <t>CSI-47-C-Wenge</t>
  </si>
  <si>
    <t>425 W x 310 D  x 465 H</t>
  </si>
  <si>
    <t>CSI-47-Table Set</t>
  </si>
  <si>
    <t>665/535/425 x 375/355/310 x 510/490/465</t>
  </si>
  <si>
    <t>PU White - Melamine Polish</t>
  </si>
  <si>
    <t>CNT-207-Wenge</t>
  </si>
  <si>
    <r>
      <rPr>
        <sz val="12"/>
        <color theme="1"/>
        <rFont val="Cambria"/>
        <charset val="0"/>
      </rPr>
      <t>MDF-Center Table</t>
    </r>
    <r>
      <rPr>
        <sz val="12"/>
        <color rgb="FF000000"/>
        <rFont val="Cambria"/>
        <charset val="0"/>
      </rPr>
      <t xml:space="preserve"> </t>
    </r>
  </si>
  <si>
    <t xml:space="preserve"> 600Wx600Dx480H</t>
  </si>
  <si>
    <t>MDU - 0001-Wenge</t>
  </si>
  <si>
    <t xml:space="preserve">MDF Display Unit </t>
  </si>
  <si>
    <t>860Wx440Dx1860H</t>
  </si>
  <si>
    <t>MDU - 0002-Wenge</t>
  </si>
  <si>
    <t>450Wx430Dx1900H</t>
  </si>
  <si>
    <t xml:space="preserve">750 D x 750 W  x 400 H </t>
  </si>
  <si>
    <t>F. White</t>
  </si>
  <si>
    <t>750 D x 750 W x 400 H</t>
  </si>
  <si>
    <t>900 Wx500 Dx450 H</t>
  </si>
  <si>
    <t>Centre Table(MDF Jali)</t>
  </si>
  <si>
    <t>SR .NO</t>
  </si>
  <si>
    <t>Rate</t>
  </si>
  <si>
    <t>CSI-1  900</t>
  </si>
  <si>
    <t>Shoerack with Sitting</t>
  </si>
  <si>
    <t>800Wx900Hx600D</t>
  </si>
  <si>
    <t>4039/858</t>
  </si>
  <si>
    <t>CSI-1  1200</t>
  </si>
  <si>
    <t>800Wx1200Hx600D</t>
  </si>
  <si>
    <t>CSI-3</t>
  </si>
  <si>
    <t>Chest of Drawer</t>
  </si>
  <si>
    <t>900Wx750Hx500D</t>
  </si>
  <si>
    <t>CSI-4  -600</t>
  </si>
  <si>
    <t>Shoerack with shutter</t>
  </si>
  <si>
    <t>600Wx825Hx400D</t>
  </si>
  <si>
    <t>CSI-4 - 750</t>
  </si>
  <si>
    <t>750Wx825Hx400D</t>
  </si>
  <si>
    <t>CSI-4 -900</t>
  </si>
  <si>
    <t>900Wx825Hx400D</t>
  </si>
  <si>
    <t>CSI-6</t>
  </si>
  <si>
    <t>900Wx440Dx750H</t>
  </si>
  <si>
    <t>CSI-7</t>
  </si>
  <si>
    <t>Computer Table with 1 drawer</t>
  </si>
  <si>
    <t>CSI-8</t>
  </si>
  <si>
    <t>1350Wx600Dx750H</t>
  </si>
  <si>
    <t>CSI-9</t>
  </si>
  <si>
    <t>Corner TV Unit</t>
  </si>
  <si>
    <t>800Wx800Dx800H</t>
  </si>
  <si>
    <t>CSI-10</t>
  </si>
  <si>
    <t>800Wx300Dx1800H</t>
  </si>
  <si>
    <t>CSI-11</t>
  </si>
  <si>
    <t>Computer Table with cabinet</t>
  </si>
  <si>
    <t>CSI-12</t>
  </si>
  <si>
    <t>Computer Trolly</t>
  </si>
  <si>
    <t>770Wx450Dx780H</t>
  </si>
  <si>
    <t>CSI-15</t>
  </si>
  <si>
    <t>LCD Unit with single drawer</t>
  </si>
  <si>
    <t>1200Wx400Dx600H</t>
  </si>
  <si>
    <t>WENGE/PA-108</t>
  </si>
  <si>
    <t>CSI-16 LH</t>
  </si>
  <si>
    <t>Display unit LH</t>
  </si>
  <si>
    <t>400Wx400Dx1675H</t>
  </si>
  <si>
    <t>CSI-17 RH</t>
  </si>
  <si>
    <t>Display unit RH</t>
  </si>
  <si>
    <t>CSI-18</t>
  </si>
  <si>
    <t>LCD Unit with three drawer</t>
  </si>
  <si>
    <t xml:space="preserve">Study Table </t>
  </si>
  <si>
    <t>CSI-20</t>
  </si>
  <si>
    <t>Coffe Table-16MM</t>
  </si>
  <si>
    <t>850W x 420 D x 590H</t>
  </si>
  <si>
    <t>CSI-21</t>
  </si>
  <si>
    <t>890W x 890D x 380H</t>
  </si>
  <si>
    <t>CSI-21 A</t>
  </si>
  <si>
    <t>880x 885x290</t>
  </si>
  <si>
    <t>CSI-21 B</t>
  </si>
  <si>
    <t>Coffe Table-16MM-More Height</t>
  </si>
  <si>
    <t>880x885 x390
(as per csi-21)</t>
  </si>
  <si>
    <t>CSI-22</t>
  </si>
  <si>
    <t>Coffe Table- 16MM</t>
  </si>
  <si>
    <t>1180W x 600D x 380H</t>
  </si>
  <si>
    <t>CSI-23</t>
  </si>
  <si>
    <t>Table sets- 16MM</t>
  </si>
  <si>
    <t>450W x 450D x 450H</t>
  </si>
  <si>
    <t>CSI-24</t>
  </si>
  <si>
    <t>900W x 500D x 525H</t>
  </si>
  <si>
    <t>CSI-25</t>
  </si>
  <si>
    <t xml:space="preserve">TV unit </t>
  </si>
  <si>
    <t>400x400x1840</t>
  </si>
  <si>
    <t>CSI-26</t>
  </si>
  <si>
    <t>Shoe Cabinate.(color:858+F.white)</t>
  </si>
  <si>
    <t>650x800x400</t>
  </si>
  <si>
    <t>CSI-26 - with 3 Shutter</t>
  </si>
  <si>
    <t>Shoe Cabinate-with 3 Shutter-16MM</t>
  </si>
  <si>
    <t>1200X400X600</t>
  </si>
  <si>
    <t>858-F.White</t>
  </si>
  <si>
    <t>CSI-27</t>
  </si>
  <si>
    <t>Sliding Door Shoe Cabinate-16MM</t>
  </si>
  <si>
    <t>760x1380x350</t>
  </si>
  <si>
    <t>Sitting type Shoe Rack With Cousan-16MM</t>
  </si>
  <si>
    <t>800 x 390 450</t>
  </si>
  <si>
    <t>CSI-28 - with 3 Shutter</t>
  </si>
  <si>
    <t>Sitting Shoe Rack With 3 shutter-16MM</t>
  </si>
  <si>
    <t>1200X390X450</t>
  </si>
  <si>
    <t>CSI-28 B</t>
  </si>
  <si>
    <t xml:space="preserve">Seating Type Shoe Rack  </t>
  </si>
  <si>
    <t xml:space="preserve">800Wx390Dx450H </t>
  </si>
  <si>
    <t>Central Table-16MM</t>
  </si>
  <si>
    <t>850x420x590</t>
  </si>
  <si>
    <t>450x800x450</t>
  </si>
  <si>
    <t>CSI-31</t>
  </si>
  <si>
    <t>T.V Unit -16MM</t>
  </si>
  <si>
    <t>1735 x 1300 x 450</t>
  </si>
  <si>
    <t>T.V Unit - 16MM</t>
  </si>
  <si>
    <t>710 x 450 x 1280</t>
  </si>
  <si>
    <t>CSI-33</t>
  </si>
  <si>
    <t>Shoe Rock-16MM</t>
  </si>
  <si>
    <t>1000 x 350 x 800</t>
  </si>
  <si>
    <t>CSI-34 A</t>
  </si>
  <si>
    <t>Shoe Rock, Steel Handle-16MM</t>
  </si>
  <si>
    <t>1200 x 800 x 350</t>
  </si>
  <si>
    <t>CSI-34 B</t>
  </si>
  <si>
    <t>Shoe Rock, Prelam Hanld-16MM</t>
  </si>
  <si>
    <t>CSI-34 C</t>
  </si>
  <si>
    <t>740 (W) x 350 (D) x 1050 (H)</t>
  </si>
  <si>
    <t>CSI-34 D</t>
  </si>
  <si>
    <t>600Wx400Dx930H</t>
  </si>
  <si>
    <t>CSI-35 A</t>
  </si>
  <si>
    <t>TV Unit with Glass Shelf-16MM</t>
  </si>
  <si>
    <t>1735 x 450 x 1280</t>
  </si>
  <si>
    <t>CSI-35 B</t>
  </si>
  <si>
    <t>TV Unit with Prelam Shelf- 16MM</t>
  </si>
  <si>
    <t>CSI-36 A</t>
  </si>
  <si>
    <t>Crockery Unit with Glass Shelf- 16MM</t>
  </si>
  <si>
    <t>1800 x 460 x 600</t>
  </si>
  <si>
    <t>CSI-36 B</t>
  </si>
  <si>
    <t>Crockery Unit with Prelam shelf-16MM</t>
  </si>
  <si>
    <t>CSI-37</t>
  </si>
  <si>
    <t>Shoe Stand (Colour : AP-108)</t>
  </si>
  <si>
    <t>H-760xW-600xD-300</t>
  </si>
  <si>
    <t>AP-108</t>
  </si>
  <si>
    <t>CSI-38</t>
  </si>
  <si>
    <t>Corner Stand with Leg(Colour : AP-108)</t>
  </si>
  <si>
    <t>H-750xW-300xD-300</t>
  </si>
  <si>
    <t>CSI-39</t>
  </si>
  <si>
    <t>Center Table (Colour : AP-108)</t>
  </si>
  <si>
    <t>H-590xW-840xD-530</t>
  </si>
  <si>
    <t>CSI-40</t>
  </si>
  <si>
    <t>Center Table (Colour:858+AP-108)</t>
  </si>
  <si>
    <t>900x540x480</t>
  </si>
  <si>
    <t>CSI-41</t>
  </si>
  <si>
    <t>LCD Unit (Colour : 858+AP-108)</t>
  </si>
  <si>
    <t>H-410xW-1500xD-405</t>
  </si>
  <si>
    <t>CSI-42</t>
  </si>
  <si>
    <t>MDF -Dining Fram without Top</t>
  </si>
  <si>
    <t>1200W x 600D x 780H</t>
  </si>
  <si>
    <t>CSI-43</t>
  </si>
  <si>
    <t>LCD Unit</t>
  </si>
  <si>
    <t>2000W x 400D x 1800H</t>
  </si>
  <si>
    <t>4039+PU white</t>
  </si>
  <si>
    <t>CSI-44</t>
  </si>
  <si>
    <t>2000W x 400D x 2100H</t>
  </si>
  <si>
    <t>Balenes Pine + F.white</t>
  </si>
  <si>
    <t>CSI-45</t>
  </si>
  <si>
    <t>LCD Unit (Colour: 992+Black)</t>
  </si>
  <si>
    <t>1650W x 300D x 1800H</t>
  </si>
  <si>
    <t>992+Black</t>
  </si>
  <si>
    <t>CSI-46</t>
  </si>
  <si>
    <t>Baby Bed With Storage
(color: 858+ PU White)</t>
  </si>
  <si>
    <t>1400 x 700 x 1050</t>
  </si>
  <si>
    <t xml:space="preserve"> 858+ PU White</t>
  </si>
  <si>
    <t>CSI-47-A</t>
  </si>
  <si>
    <t>wenge + Top- PU white</t>
  </si>
  <si>
    <t>CSI-47-B</t>
  </si>
  <si>
    <t>CSI-47-C</t>
  </si>
  <si>
    <t>CSI-47-D</t>
  </si>
  <si>
    <t>280 W x 305 D  x 440 H</t>
  </si>
  <si>
    <t>CSI-48</t>
  </si>
  <si>
    <t>1200w x 600D x 1700H</t>
  </si>
  <si>
    <t>CSI-49</t>
  </si>
  <si>
    <t>1800 (L) x 400 (D) x 460 (H)</t>
  </si>
  <si>
    <t>D.Wallnut + Frosty White</t>
  </si>
  <si>
    <t>CSI-50</t>
  </si>
  <si>
    <t>1800 (L) x 400 (D) x 1657 (H)</t>
  </si>
  <si>
    <t>CSI-51</t>
  </si>
  <si>
    <t>Shoe Rack</t>
  </si>
  <si>
    <t>700 (W) x 370 (D) x 920 (H)</t>
  </si>
  <si>
    <t>CSI-52</t>
  </si>
  <si>
    <t>800 (W) x 450 (D) x 1800 (H)</t>
  </si>
  <si>
    <t>2257+2258</t>
  </si>
  <si>
    <t>CSI-53-18MM</t>
  </si>
  <si>
    <t>Shoe Rock-18MM</t>
  </si>
  <si>
    <t>Wenge-G Handle</t>
  </si>
  <si>
    <t>CSI-54</t>
  </si>
  <si>
    <t xml:space="preserve">Seating Type Shoe Rack </t>
  </si>
  <si>
    <t>1200Wx390Dx450H</t>
  </si>
  <si>
    <t>Knotty Wood (992)</t>
  </si>
  <si>
    <t>CSI-55</t>
  </si>
  <si>
    <t xml:space="preserve">Shoe Rack  </t>
  </si>
  <si>
    <t>1000Wx400Dx520H</t>
  </si>
  <si>
    <t xml:space="preserve">Vargin Oak + Dark Wallnut </t>
  </si>
  <si>
    <t>CSI-56</t>
  </si>
  <si>
    <t>800Wx400Dx520H</t>
  </si>
  <si>
    <t>1200x400x600</t>
  </si>
  <si>
    <t>800x400x600</t>
  </si>
  <si>
    <t>CSI-58</t>
  </si>
  <si>
    <t>EPIC Office Table</t>
  </si>
  <si>
    <t>1800 x 900 x 750</t>
  </si>
  <si>
    <t>CSI-59</t>
  </si>
  <si>
    <t>1200wx600Dx750H</t>
  </si>
  <si>
    <t>CSI-60</t>
  </si>
  <si>
    <t>Study Table With Shelf</t>
  </si>
  <si>
    <t>1200Wx400DX1200H</t>
  </si>
  <si>
    <t>CSI-61 A</t>
  </si>
  <si>
    <t>CSI-61 B</t>
  </si>
  <si>
    <t>900wx450Dx470H</t>
  </si>
  <si>
    <t>CSI-62</t>
  </si>
  <si>
    <t>Study Cum Computer Table</t>
  </si>
  <si>
    <t>1200Wx600DX750H</t>
  </si>
  <si>
    <t>CSI-63-A</t>
  </si>
  <si>
    <t>CSI-63-B</t>
  </si>
  <si>
    <t>Burma Teak</t>
  </si>
  <si>
    <t>CSI-63-C</t>
  </si>
  <si>
    <t>CSI-64-1800</t>
  </si>
  <si>
    <t>1800wx900Dx750H</t>
  </si>
  <si>
    <t>CSI-64-1500</t>
  </si>
  <si>
    <t>1500x750x750</t>
  </si>
  <si>
    <t>CSI-65</t>
  </si>
  <si>
    <t>OfficeTable</t>
  </si>
  <si>
    <t>Center Table (15mm prealm)</t>
  </si>
  <si>
    <t>CSI-67</t>
  </si>
  <si>
    <t>1200Wx400DX500H</t>
  </si>
  <si>
    <t>CSI-69</t>
  </si>
  <si>
    <t>1820Wx450DX1845H</t>
  </si>
  <si>
    <t>Wenge or 2257</t>
  </si>
  <si>
    <t>CSI-71</t>
  </si>
  <si>
    <t>600wx380Dx1485H</t>
  </si>
  <si>
    <t>Corner Unit (15mm prealm)</t>
  </si>
  <si>
    <t>CSI-78</t>
  </si>
  <si>
    <t>1000x520x760</t>
  </si>
  <si>
    <t>992+White Polish</t>
  </si>
  <si>
    <t>CSI-79</t>
  </si>
  <si>
    <t>900Wx500Dx750H</t>
  </si>
  <si>
    <t>CSI-80</t>
  </si>
  <si>
    <t>1200 W x 400 D x 1750 H</t>
  </si>
  <si>
    <t>CSI-81</t>
  </si>
  <si>
    <t>Shoe Rack with Shutter-18mm</t>
  </si>
  <si>
    <t>1200(W)x350(D)x1050(H)</t>
  </si>
  <si>
    <t>CSI-82</t>
  </si>
  <si>
    <t>800(W)x350(D)x1050(H)</t>
  </si>
  <si>
    <t>600x330x812</t>
  </si>
  <si>
    <t>600x350x1650</t>
  </si>
  <si>
    <t>CSI-85</t>
  </si>
  <si>
    <t>Bar Cabinet</t>
  </si>
  <si>
    <t>750Wx350Dx1800H</t>
  </si>
  <si>
    <t>D.Walnut Glossy</t>
  </si>
  <si>
    <t>CSI-86</t>
  </si>
  <si>
    <t>1840x400x400</t>
  </si>
  <si>
    <t>Wallnut + F.white</t>
  </si>
  <si>
    <t>CSI-87</t>
  </si>
  <si>
    <t>TV Unit-6</t>
  </si>
  <si>
    <t>1350(W)x350(D)x1600(H)</t>
  </si>
  <si>
    <t>4039+F.White</t>
  </si>
  <si>
    <t>CSI-88</t>
  </si>
  <si>
    <t>TV Unit-7</t>
  </si>
  <si>
    <t>1200(W)x350(D)x1600(H)</t>
  </si>
  <si>
    <t>DARK ACASIA</t>
  </si>
  <si>
    <t>CSI-89</t>
  </si>
  <si>
    <t>TV UNIT-13</t>
  </si>
  <si>
    <t>1800x350x1600</t>
  </si>
  <si>
    <t>WHITE PAINT + CLOUD ASH + DARK ELM</t>
  </si>
  <si>
    <t>CSI-90</t>
  </si>
  <si>
    <t>TV UNIT-14</t>
  </si>
  <si>
    <t>1800(W)x350(D)x400(H)</t>
  </si>
  <si>
    <t>KNOTT WOOD + WHITE</t>
  </si>
  <si>
    <t>CSI-91</t>
  </si>
  <si>
    <t>600(W)x400(D)x1800(H)</t>
  </si>
  <si>
    <t>Dark Ebony + White</t>
  </si>
  <si>
    <t>1040X450X1950</t>
  </si>
  <si>
    <t>CSI-93</t>
  </si>
  <si>
    <t>TV Unit-4</t>
  </si>
  <si>
    <t>1820(W)x336(D)x1600(H)</t>
  </si>
  <si>
    <t xml:space="preserve"> HIGHLAND PINE+  PA 108 + WHITE</t>
  </si>
  <si>
    <t>CSI-94</t>
  </si>
  <si>
    <t>Study table cum book shelf</t>
  </si>
  <si>
    <t>1500 H X 1200 W X 450</t>
  </si>
  <si>
    <t>C.WALLNUT</t>
  </si>
  <si>
    <t>CSI-95</t>
  </si>
  <si>
    <t>Foldabale study table</t>
  </si>
  <si>
    <t>800 H X 900 W X 450</t>
  </si>
  <si>
    <t>CSI-96</t>
  </si>
  <si>
    <t>Study table</t>
  </si>
  <si>
    <t>1050 H X 900 W X 450</t>
  </si>
  <si>
    <t>CSI-97</t>
  </si>
  <si>
    <t>Cupboard</t>
  </si>
  <si>
    <t>1485x600wx380</t>
  </si>
  <si>
    <t>2257 + Pink</t>
  </si>
</sst>
</file>

<file path=xl/styles.xml><?xml version="1.0" encoding="utf-8"?>
<styleSheet xmlns="http://schemas.openxmlformats.org/spreadsheetml/2006/main">
  <numFmts count="5">
    <numFmt numFmtId="176" formatCode="_-&quot;£&quot;* #,##0_-;\-&quot;£&quot;* #,##0_-;_-&quot;£&quot;* &quot;-&quot;_-;_-@_-"/>
    <numFmt numFmtId="177" formatCode="0_ "/>
    <numFmt numFmtId="178" formatCode="_-* #,##0_-;\-* #,##0_-;_-* &quot;-&quot;_-;_-@_-"/>
    <numFmt numFmtId="179" formatCode="_-* #,##0.00_-;\-* #,##0.00_-;_-* &quot;-&quot;??_-;_-@_-"/>
    <numFmt numFmtId="180" formatCode="_-&quot;£&quot;* #,##0.00_-;\-&quot;£&quot;* #,##0.00_-;_-&quot;£&quot;* &quot;-&quot;??_-;_-@_-"/>
  </numFmts>
  <fonts count="68">
    <font>
      <sz val="10"/>
      <name val="Arial"/>
      <charset val="134"/>
    </font>
    <font>
      <b/>
      <sz val="10"/>
      <name val="Cambria"/>
      <charset val="0"/>
      <scheme val="major"/>
    </font>
    <font>
      <sz val="10"/>
      <name val="Cambria"/>
      <charset val="0"/>
      <scheme val="major"/>
    </font>
    <font>
      <sz val="10"/>
      <name val="Arial"/>
      <charset val="0"/>
    </font>
    <font>
      <sz val="10"/>
      <name val="Cambria"/>
      <charset val="0"/>
    </font>
    <font>
      <sz val="11"/>
      <name val="Cambria"/>
      <charset val="0"/>
    </font>
    <font>
      <sz val="12"/>
      <name val="Cambria"/>
      <charset val="0"/>
    </font>
    <font>
      <sz val="11"/>
      <color theme="1"/>
      <name val="Cambria"/>
      <charset val="0"/>
    </font>
    <font>
      <sz val="11"/>
      <name val="Calibri"/>
      <charset val="0"/>
    </font>
    <font>
      <b/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0"/>
      <scheme val="minor"/>
    </font>
    <font>
      <sz val="12"/>
      <color theme="1"/>
      <name val="Cambria"/>
      <charset val="0"/>
    </font>
    <font>
      <sz val="12"/>
      <name val="Cambria"/>
      <charset val="0"/>
      <scheme val="major"/>
    </font>
    <font>
      <sz val="11"/>
      <name val="Cambria"/>
      <charset val="0"/>
      <scheme val="major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0"/>
      <color theme="1"/>
      <name val="Cambria"/>
      <charset val="0"/>
    </font>
    <font>
      <sz val="11"/>
      <color theme="1"/>
      <name val="Cambria"/>
      <charset val="134"/>
    </font>
    <font>
      <sz val="10"/>
      <color theme="1"/>
      <name val="Cambria"/>
      <charset val="134"/>
    </font>
    <font>
      <sz val="11"/>
      <name val="Cambria"/>
      <charset val="134"/>
    </font>
    <font>
      <sz val="12"/>
      <color rgb="FF333333"/>
      <name val="Cambria"/>
      <charset val="134"/>
    </font>
    <font>
      <sz val="10"/>
      <color indexed="8"/>
      <name val="Cambria"/>
      <charset val="0"/>
    </font>
    <font>
      <b/>
      <sz val="24"/>
      <name val="Cambria"/>
      <charset val="0"/>
    </font>
    <font>
      <b/>
      <sz val="12"/>
      <name val="Cambria"/>
      <charset val="0"/>
    </font>
    <font>
      <sz val="12"/>
      <color indexed="8"/>
      <name val="Cambria"/>
      <charset val="0"/>
    </font>
    <font>
      <sz val="10"/>
      <name val="Calibri"/>
      <charset val="0"/>
    </font>
    <font>
      <sz val="12"/>
      <name val="Calibri"/>
      <charset val="0"/>
    </font>
    <font>
      <sz val="11"/>
      <color theme="1"/>
      <name val="Calibri"/>
      <charset val="0"/>
      <scheme val="minor"/>
    </font>
    <font>
      <sz val="11"/>
      <color indexed="8"/>
      <name val="Cambria"/>
      <charset val="0"/>
    </font>
    <font>
      <sz val="12"/>
      <color theme="1"/>
      <name val="Cambria"/>
      <charset val="0"/>
      <scheme val="major"/>
    </font>
    <font>
      <sz val="10.5"/>
      <color rgb="FF333333"/>
      <name val="Helvetica"/>
      <charset val="134"/>
    </font>
    <font>
      <sz val="9"/>
      <color rgb="FF333333"/>
      <name val="Helvetica"/>
      <charset val="134"/>
    </font>
    <font>
      <sz val="12"/>
      <color rgb="FF000000"/>
      <name val="Segoe UI"/>
      <charset val="0"/>
    </font>
    <font>
      <sz val="12"/>
      <color rgb="FF000000"/>
      <name val="Cambria"/>
      <charset val="0"/>
    </font>
    <font>
      <sz val="12"/>
      <name val="Arial"/>
      <charset val="134"/>
    </font>
    <font>
      <sz val="10"/>
      <name val="Cambria"/>
      <charset val="134"/>
    </font>
    <font>
      <b/>
      <sz val="10"/>
      <color theme="1"/>
      <name val="Cambria"/>
      <charset val="0"/>
    </font>
    <font>
      <sz val="12"/>
      <color theme="1"/>
      <name val="Cambria"/>
      <charset val="134"/>
    </font>
    <font>
      <sz val="10"/>
      <color theme="1"/>
      <name val="Calibri"/>
      <charset val="0"/>
      <scheme val="minor"/>
    </font>
    <font>
      <sz val="10"/>
      <color rgb="FF000000"/>
      <name val="Calibri"/>
      <charset val="0"/>
    </font>
    <font>
      <sz val="10"/>
      <color rgb="FF333333"/>
      <name val="Cambria"/>
      <charset val="134"/>
    </font>
    <font>
      <sz val="10.5"/>
      <name val="Cambria"/>
      <charset val="134"/>
    </font>
    <font>
      <sz val="10"/>
      <color rgb="FF000000"/>
      <name val="Cambria"/>
      <charset val="0"/>
    </font>
    <font>
      <sz val="10"/>
      <color rgb="FF000000"/>
      <name val="Segoe UI"/>
      <charset val="0"/>
    </font>
    <font>
      <sz val="10.5"/>
      <color rgb="FF333333"/>
      <name val="Cambria"/>
      <charset val="134"/>
    </font>
    <font>
      <sz val="10.5"/>
      <color theme="1"/>
      <name val="Helvetica"/>
      <charset val="134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indexed="8"/>
      <name val="Calibri"/>
      <charset val="0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2"/>
      <color rgb="FF800000"/>
      <name val="Cambria"/>
      <charset val="0"/>
    </font>
    <font>
      <sz val="12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7">
    <xf numFmtId="0" fontId="0" fillId="0" borderId="0"/>
    <xf numFmtId="0" fontId="28" fillId="17" borderId="0" applyNumberFormat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8" fillId="0" borderId="0"/>
    <xf numFmtId="0" fontId="51" fillId="24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9" fillId="29" borderId="22" applyNumberFormat="0" applyAlignment="0" applyProtection="0">
      <alignment vertical="center"/>
    </xf>
    <xf numFmtId="0" fontId="62" fillId="0" borderId="18" applyNumberFormat="0" applyFill="0" applyAlignment="0" applyProtection="0">
      <alignment vertical="center"/>
    </xf>
    <xf numFmtId="0" fontId="10" fillId="31" borderId="24" applyNumberFormat="0" applyFon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50" fillId="0" borderId="18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5" fillId="34" borderId="20" applyNumberFormat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61" fillId="13" borderId="23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53" fillId="13" borderId="20" applyNumberFormat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0" fillId="0" borderId="0"/>
    <xf numFmtId="0" fontId="28" fillId="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64" fillId="0" borderId="0"/>
    <xf numFmtId="0" fontId="28" fillId="20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0" borderId="0"/>
    <xf numFmtId="0" fontId="51" fillId="11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0" borderId="0"/>
    <xf numFmtId="0" fontId="51" fillId="25" borderId="0" applyNumberFormat="0" applyBorder="0" applyAlignment="0" applyProtection="0">
      <alignment vertical="center"/>
    </xf>
    <xf numFmtId="0" fontId="60" fillId="0" borderId="0">
      <alignment vertical="center"/>
    </xf>
    <xf numFmtId="0" fontId="3" fillId="0" borderId="0"/>
  </cellStyleXfs>
  <cellXfs count="255">
    <xf numFmtId="0" fontId="0" fillId="0" borderId="0" xfId="0"/>
    <xf numFmtId="0" fontId="1" fillId="0" borderId="0" xfId="34" applyFont="1" applyFill="1" applyBorder="1" applyAlignment="1"/>
    <xf numFmtId="0" fontId="2" fillId="0" borderId="0" xfId="34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34" applyFont="1" applyFill="1" applyBorder="1" applyAlignment="1">
      <alignment horizontal="center" vertical="center" wrapText="1"/>
    </xf>
    <xf numFmtId="0" fontId="1" fillId="0" borderId="0" xfId="34" applyFont="1" applyFill="1" applyBorder="1" applyAlignment="1">
      <alignment horizontal="center" vertical="center" wrapText="1"/>
    </xf>
    <xf numFmtId="0" fontId="1" fillId="0" borderId="0" xfId="34" applyFont="1" applyFill="1" applyBorder="1" applyAlignment="1">
      <alignment horizontal="right"/>
    </xf>
    <xf numFmtId="0" fontId="1" fillId="0" borderId="1" xfId="34" applyFont="1" applyFill="1" applyBorder="1" applyAlignment="1">
      <alignment horizontal="center" vertical="center" wrapText="1"/>
    </xf>
    <xf numFmtId="0" fontId="2" fillId="0" borderId="1" xfId="34" applyFont="1" applyFill="1" applyBorder="1" applyAlignment="1">
      <alignment horizontal="center" vertical="center" wrapText="1"/>
    </xf>
    <xf numFmtId="1" fontId="2" fillId="0" borderId="1" xfId="34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56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0" borderId="1" xfId="34" applyNumberFormat="1" applyFont="1" applyFill="1" applyBorder="1" applyAlignment="1">
      <alignment horizontal="center" vertical="center" wrapText="1"/>
    </xf>
    <xf numFmtId="177" fontId="1" fillId="0" borderId="1" xfId="34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5" fillId="0" borderId="1" xfId="34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4" fillId="0" borderId="1" xfId="34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/>
    <xf numFmtId="0" fontId="9" fillId="0" borderId="0" xfId="0" applyNumberFormat="1" applyFont="1" applyFill="1" applyBorder="1" applyAlignment="1">
      <alignment horizontal="left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>
      <alignment horizontal="right"/>
    </xf>
    <xf numFmtId="49" fontId="9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3" xfId="34" applyNumberFormat="1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right" vertical="center"/>
    </xf>
    <xf numFmtId="0" fontId="12" fillId="0" borderId="1" xfId="34" applyFont="1" applyFill="1" applyBorder="1" applyAlignment="1">
      <alignment horizontal="center" vertical="center"/>
    </xf>
    <xf numFmtId="0" fontId="6" fillId="0" borderId="1" xfId="34" applyFont="1" applyFill="1" applyBorder="1" applyAlignment="1">
      <alignment horizontal="center" vertical="center" wrapText="1"/>
    </xf>
    <xf numFmtId="0" fontId="13" fillId="0" borderId="1" xfId="34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9" fontId="15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49" fontId="15" fillId="2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6" fillId="0" borderId="1" xfId="34" applyFont="1" applyFill="1" applyBorder="1" applyAlignment="1">
      <alignment horizontal="center" vertical="center"/>
    </xf>
    <xf numFmtId="0" fontId="12" fillId="0" borderId="1" xfId="34" applyFont="1" applyFill="1" applyBorder="1" applyAlignment="1">
      <alignment horizontal="left" vertical="center"/>
    </xf>
    <xf numFmtId="0" fontId="6" fillId="0" borderId="1" xfId="34" applyFont="1" applyFill="1" applyBorder="1" applyAlignment="1">
      <alignment vertical="center" wrapText="1"/>
    </xf>
    <xf numFmtId="0" fontId="3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/>
    <xf numFmtId="0" fontId="12" fillId="0" borderId="1" xfId="34" applyFont="1" applyFill="1" applyBorder="1" applyAlignment="1">
      <alignment horizontal="left" vertical="center" wrapText="1"/>
    </xf>
    <xf numFmtId="0" fontId="17" fillId="0" borderId="1" xfId="34" applyFont="1" applyFill="1" applyBorder="1" applyAlignment="1">
      <alignment horizontal="left" vertical="center"/>
    </xf>
    <xf numFmtId="177" fontId="6" fillId="0" borderId="1" xfId="34" applyNumberFormat="1" applyFont="1" applyFill="1" applyBorder="1" applyAlignment="1">
      <alignment horizontal="right" vertical="center"/>
    </xf>
    <xf numFmtId="0" fontId="17" fillId="0" borderId="1" xfId="56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177" fontId="18" fillId="0" borderId="1" xfId="0" applyNumberFormat="1" applyFont="1" applyFill="1" applyBorder="1" applyAlignment="1">
      <alignment horizontal="right" vertical="center"/>
    </xf>
    <xf numFmtId="0" fontId="19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177" fontId="20" fillId="0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77" fontId="6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horizontal="left" vertical="center"/>
    </xf>
    <xf numFmtId="177" fontId="12" fillId="0" borderId="1" xfId="56" applyNumberFormat="1" applyFont="1" applyFill="1" applyBorder="1" applyAlignment="1">
      <alignment horizontal="right" vertical="center"/>
    </xf>
    <xf numFmtId="177" fontId="18" fillId="3" borderId="1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23" fillId="5" borderId="4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left" vertical="center"/>
    </xf>
    <xf numFmtId="0" fontId="23" fillId="5" borderId="7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24" fillId="0" borderId="5" xfId="7" applyFont="1" applyFill="1" applyBorder="1" applyAlignment="1" applyProtection="1">
      <alignment horizontal="center" vertical="center"/>
    </xf>
    <xf numFmtId="0" fontId="5" fillId="0" borderId="3" xfId="7" applyFont="1" applyFill="1" applyBorder="1" applyAlignment="1" applyProtection="1">
      <alignment horizontal="left" vertical="center"/>
    </xf>
    <xf numFmtId="0" fontId="24" fillId="0" borderId="7" xfId="7" applyFont="1" applyFill="1" applyBorder="1" applyAlignment="1" applyProtection="1">
      <alignment horizontal="center" vertical="center"/>
    </xf>
    <xf numFmtId="0" fontId="24" fillId="0" borderId="8" xfId="7" applyFont="1" applyFill="1" applyBorder="1" applyAlignment="1" applyProtection="1">
      <alignment horizontal="left" vertical="center"/>
    </xf>
    <xf numFmtId="0" fontId="24" fillId="6" borderId="8" xfId="7" applyFont="1" applyFill="1" applyBorder="1" applyAlignment="1" applyProtection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0" fontId="6" fillId="0" borderId="3" xfId="34" applyFont="1" applyFill="1" applyBorder="1" applyAlignment="1">
      <alignment horizontal="center" vertical="center"/>
    </xf>
    <xf numFmtId="0" fontId="6" fillId="0" borderId="9" xfId="34" applyFont="1" applyFill="1" applyBorder="1" applyAlignment="1">
      <alignment vertical="center"/>
    </xf>
    <xf numFmtId="0" fontId="6" fillId="0" borderId="10" xfId="34" applyFont="1" applyFill="1" applyBorder="1" applyAlignment="1">
      <alignment vertical="center" wrapText="1"/>
    </xf>
    <xf numFmtId="0" fontId="6" fillId="0" borderId="3" xfId="34" applyFont="1" applyFill="1" applyBorder="1" applyAlignment="1">
      <alignment horizontal="left" vertical="center"/>
    </xf>
    <xf numFmtId="0" fontId="12" fillId="0" borderId="3" xfId="34" applyFont="1" applyFill="1" applyBorder="1" applyAlignment="1">
      <alignment horizontal="left" vertical="center"/>
    </xf>
    <xf numFmtId="0" fontId="6" fillId="0" borderId="2" xfId="34" applyFont="1" applyFill="1" applyBorder="1" applyAlignment="1">
      <alignment vertical="center"/>
    </xf>
    <xf numFmtId="0" fontId="6" fillId="0" borderId="11" xfId="34" applyFont="1" applyFill="1" applyBorder="1" applyAlignment="1">
      <alignment vertical="center" wrapText="1"/>
    </xf>
    <xf numFmtId="0" fontId="6" fillId="0" borderId="1" xfId="34" applyFont="1" applyFill="1" applyBorder="1" applyAlignment="1">
      <alignment horizontal="left" vertical="center"/>
    </xf>
    <xf numFmtId="1" fontId="6" fillId="0" borderId="1" xfId="34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/>
    </xf>
    <xf numFmtId="0" fontId="12" fillId="0" borderId="2" xfId="34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 wrapText="1"/>
    </xf>
    <xf numFmtId="1" fontId="12" fillId="0" borderId="1" xfId="56" applyNumberFormat="1" applyFont="1" applyFill="1" applyBorder="1" applyAlignment="1">
      <alignment horizontal="left" vertical="center"/>
    </xf>
    <xf numFmtId="0" fontId="12" fillId="4" borderId="2" xfId="34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wrapText="1"/>
    </xf>
    <xf numFmtId="0" fontId="6" fillId="0" borderId="11" xfId="34" applyFont="1" applyFill="1" applyBorder="1" applyAlignment="1">
      <alignment vertical="center"/>
    </xf>
    <xf numFmtId="0" fontId="23" fillId="5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5" fillId="0" borderId="3" xfId="7" applyFont="1" applyFill="1" applyBorder="1" applyAlignment="1" applyProtection="1">
      <alignment horizontal="right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26" fillId="0" borderId="1" xfId="34" applyFont="1" applyFill="1" applyBorder="1" applyAlignment="1">
      <alignment horizontal="center" vertical="center" wrapText="1"/>
    </xf>
    <xf numFmtId="0" fontId="6" fillId="0" borderId="1" xfId="34" applyFont="1" applyFill="1" applyBorder="1" applyAlignment="1">
      <alignment horizontal="left" vertical="center" wrapText="1"/>
    </xf>
    <xf numFmtId="0" fontId="13" fillId="0" borderId="1" xfId="34" applyFont="1" applyFill="1" applyBorder="1" applyAlignment="1">
      <alignment horizontal="left"/>
    </xf>
    <xf numFmtId="1" fontId="27" fillId="0" borderId="1" xfId="34" applyNumberFormat="1" applyFont="1" applyFill="1" applyBorder="1" applyAlignment="1">
      <alignment horizontal="left" vertical="center" wrapText="1"/>
    </xf>
    <xf numFmtId="1" fontId="6" fillId="0" borderId="1" xfId="34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1" fontId="12" fillId="0" borderId="1" xfId="34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/>
    </xf>
    <xf numFmtId="1" fontId="6" fillId="0" borderId="1" xfId="34" applyNumberFormat="1" applyFont="1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49" fontId="1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77" fontId="25" fillId="0" borderId="1" xfId="0" applyNumberFormat="1" applyFont="1" applyFill="1" applyBorder="1" applyAlignment="1">
      <alignment horizontal="right" wrapText="1"/>
    </xf>
    <xf numFmtId="177" fontId="5" fillId="0" borderId="1" xfId="0" applyNumberFormat="1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top" wrapText="1"/>
    </xf>
    <xf numFmtId="0" fontId="29" fillId="0" borderId="1" xfId="34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left" vertical="center"/>
    </xf>
    <xf numFmtId="177" fontId="29" fillId="0" borderId="1" xfId="0" applyNumberFormat="1" applyFont="1" applyFill="1" applyBorder="1" applyAlignment="1">
      <alignment horizontal="left" vertical="center" wrapText="1"/>
    </xf>
    <xf numFmtId="49" fontId="15" fillId="3" borderId="11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30" fillId="0" borderId="3" xfId="0" applyNumberFormat="1" applyFont="1" applyFill="1" applyBorder="1" applyAlignment="1">
      <alignment horizontal="left" vertical="center"/>
    </xf>
    <xf numFmtId="1" fontId="12" fillId="0" borderId="1" xfId="0" applyNumberFormat="1" applyFont="1" applyFill="1" applyBorder="1" applyAlignment="1">
      <alignment horizontal="left" vertical="center"/>
    </xf>
    <xf numFmtId="0" fontId="31" fillId="0" borderId="0" xfId="0" applyFont="1"/>
    <xf numFmtId="0" fontId="32" fillId="0" borderId="1" xfId="0" applyFont="1" applyBorder="1" applyAlignment="1">
      <alignment vertical="center"/>
    </xf>
    <xf numFmtId="0" fontId="33" fillId="0" borderId="1" xfId="0" applyFont="1" applyFill="1" applyBorder="1" applyAlignment="1">
      <alignment horizontal="left" vertical="center"/>
    </xf>
    <xf numFmtId="0" fontId="34" fillId="0" borderId="1" xfId="0" applyFont="1" applyFill="1" applyBorder="1" applyAlignment="1">
      <alignment horizontal="left" vertical="center" wrapText="1"/>
    </xf>
    <xf numFmtId="1" fontId="25" fillId="0" borderId="1" xfId="0" applyNumberFormat="1" applyFont="1" applyFill="1" applyBorder="1" applyAlignment="1">
      <alignment horizontal="left" vertical="center"/>
    </xf>
    <xf numFmtId="0" fontId="32" fillId="0" borderId="1" xfId="0" applyFont="1" applyBorder="1"/>
    <xf numFmtId="0" fontId="35" fillId="0" borderId="3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0" fillId="0" borderId="0" xfId="34" applyFont="1"/>
    <xf numFmtId="0" fontId="0" fillId="0" borderId="0" xfId="34" applyFont="1" applyFill="1"/>
    <xf numFmtId="0" fontId="36" fillId="0" borderId="0" xfId="34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36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left" vertical="center"/>
    </xf>
    <xf numFmtId="0" fontId="36" fillId="0" borderId="0" xfId="34" applyFont="1" applyFill="1" applyAlignment="1">
      <alignment horizontal="left"/>
    </xf>
    <xf numFmtId="49" fontId="37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left" vertical="center"/>
    </xf>
    <xf numFmtId="0" fontId="38" fillId="0" borderId="1" xfId="34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right" vertical="center"/>
    </xf>
    <xf numFmtId="0" fontId="0" fillId="0" borderId="0" xfId="34" applyFont="1" applyAlignment="1">
      <alignment horizontal="left"/>
    </xf>
    <xf numFmtId="0" fontId="39" fillId="0" borderId="1" xfId="0" applyFont="1" applyFill="1" applyBorder="1" applyAlignment="1">
      <alignment horizontal="left" vertical="center"/>
    </xf>
    <xf numFmtId="0" fontId="4" fillId="0" borderId="1" xfId="34" applyFont="1" applyFill="1" applyBorder="1" applyAlignment="1">
      <alignment horizontal="left" vertical="center"/>
    </xf>
    <xf numFmtId="177" fontId="26" fillId="0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/>
    </xf>
    <xf numFmtId="0" fontId="26" fillId="0" borderId="1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26" fillId="0" borderId="1" xfId="0" applyFont="1" applyFill="1" applyBorder="1" applyAlignment="1">
      <alignment horizontal="center" vertical="center"/>
    </xf>
    <xf numFmtId="0" fontId="0" fillId="0" borderId="0" xfId="34" applyFont="1" applyFill="1" applyAlignment="1">
      <alignment horizontal="left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1" fontId="4" fillId="0" borderId="3" xfId="0" applyNumberFormat="1" applyFont="1" applyFill="1" applyBorder="1" applyAlignment="1">
      <alignment horizontal="left" vertical="center"/>
    </xf>
    <xf numFmtId="0" fontId="40" fillId="0" borderId="14" xfId="0" applyFont="1" applyFill="1" applyBorder="1" applyAlignment="1">
      <alignment horizontal="center" vertical="center" wrapText="1"/>
    </xf>
    <xf numFmtId="0" fontId="40" fillId="0" borderId="15" xfId="0" applyFont="1" applyFill="1" applyBorder="1" applyAlignment="1">
      <alignment horizontal="center" vertical="center" wrapText="1"/>
    </xf>
    <xf numFmtId="1" fontId="4" fillId="0" borderId="11" xfId="0" applyNumberFormat="1" applyFont="1" applyFill="1" applyBorder="1" applyAlignment="1">
      <alignment horizontal="left" vertical="center"/>
    </xf>
    <xf numFmtId="0" fontId="40" fillId="0" borderId="16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left" vertical="center"/>
    </xf>
    <xf numFmtId="1" fontId="22" fillId="0" borderId="1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1" fillId="0" borderId="0" xfId="0" applyFont="1"/>
    <xf numFmtId="0" fontId="12" fillId="0" borderId="1" xfId="0" applyFont="1" applyFill="1" applyBorder="1" applyAlignment="1">
      <alignment vertical="center"/>
    </xf>
    <xf numFmtId="0" fontId="42" fillId="0" borderId="1" xfId="0" applyFont="1" applyFill="1" applyBorder="1" applyAlignment="1">
      <alignment horizontal="left" vertical="top"/>
    </xf>
    <xf numFmtId="0" fontId="43" fillId="0" borderId="1" xfId="0" applyFont="1" applyFill="1" applyBorder="1" applyAlignment="1">
      <alignment horizontal="left"/>
    </xf>
    <xf numFmtId="0" fontId="44" fillId="0" borderId="1" xfId="0" applyFont="1" applyFill="1" applyBorder="1" applyAlignment="1">
      <alignment horizontal="center" vertical="center"/>
    </xf>
    <xf numFmtId="0" fontId="12" fillId="0" borderId="1" xfId="55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left" vertical="center"/>
    </xf>
    <xf numFmtId="0" fontId="22" fillId="0" borderId="1" xfId="34" applyFont="1" applyFill="1" applyBorder="1" applyAlignment="1">
      <alignment horizontal="center" vertical="center"/>
    </xf>
    <xf numFmtId="0" fontId="45" fillId="0" borderId="1" xfId="0" applyFont="1" applyBorder="1"/>
    <xf numFmtId="1" fontId="4" fillId="0" borderId="1" xfId="0" applyNumberFormat="1" applyFont="1" applyFill="1" applyBorder="1" applyAlignment="1">
      <alignment horizontal="left" vertical="center" wrapText="1"/>
    </xf>
    <xf numFmtId="0" fontId="4" fillId="0" borderId="1" xfId="34" applyFont="1" applyFill="1" applyBorder="1" applyAlignment="1">
      <alignment horizontal="center" vertical="center"/>
    </xf>
    <xf numFmtId="0" fontId="4" fillId="0" borderId="1" xfId="53" applyFont="1" applyFill="1" applyBorder="1" applyAlignment="1">
      <alignment horizontal="center" vertical="center"/>
    </xf>
    <xf numFmtId="1" fontId="4" fillId="0" borderId="1" xfId="53" applyNumberFormat="1" applyFont="1" applyFill="1" applyBorder="1" applyAlignment="1">
      <alignment horizontal="left" vertical="center"/>
    </xf>
    <xf numFmtId="1" fontId="4" fillId="0" borderId="1" xfId="34" applyNumberFormat="1" applyFont="1" applyFill="1" applyBorder="1" applyAlignment="1">
      <alignment horizontal="left" vertical="center"/>
    </xf>
    <xf numFmtId="0" fontId="12" fillId="0" borderId="1" xfId="34" applyFont="1" applyFill="1" applyBorder="1" applyAlignment="1">
      <alignment vertical="center"/>
    </xf>
    <xf numFmtId="0" fontId="4" fillId="0" borderId="1" xfId="34" applyFont="1" applyFill="1" applyBorder="1" applyAlignment="1">
      <alignment vertical="center"/>
    </xf>
    <xf numFmtId="0" fontId="6" fillId="0" borderId="1" xfId="34" applyFont="1" applyFill="1" applyBorder="1" applyAlignment="1">
      <alignment vertical="center"/>
    </xf>
    <xf numFmtId="1" fontId="25" fillId="0" borderId="1" xfId="0" applyNumberFormat="1" applyFont="1" applyFill="1" applyBorder="1" applyAlignment="1">
      <alignment vertical="center"/>
    </xf>
    <xf numFmtId="0" fontId="25" fillId="0" borderId="1" xfId="34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vertical="center"/>
    </xf>
    <xf numFmtId="1" fontId="6" fillId="0" borderId="1" xfId="0" applyNumberFormat="1" applyFont="1" applyFill="1" applyBorder="1" applyAlignment="1">
      <alignment horizontal="right" vertical="center"/>
    </xf>
    <xf numFmtId="1" fontId="25" fillId="0" borderId="1" xfId="0" applyNumberFormat="1" applyFont="1" applyFill="1" applyBorder="1" applyAlignment="1">
      <alignment horizontal="right" vertical="center"/>
    </xf>
    <xf numFmtId="0" fontId="46" fillId="0" borderId="0" xfId="0" applyFont="1"/>
    <xf numFmtId="0" fontId="41" fillId="0" borderId="1" xfId="0" applyFont="1" applyFill="1" applyBorder="1" applyAlignment="1">
      <alignment vertical="top" wrapText="1"/>
    </xf>
    <xf numFmtId="0" fontId="46" fillId="0" borderId="0" xfId="0" applyFont="1" applyFill="1"/>
    <xf numFmtId="1" fontId="6" fillId="0" borderId="1" xfId="34" applyNumberFormat="1" applyFont="1" applyFill="1" applyBorder="1" applyAlignment="1">
      <alignment vertical="center"/>
    </xf>
    <xf numFmtId="1" fontId="12" fillId="0" borderId="1" xfId="0" applyNumberFormat="1" applyFont="1" applyFill="1" applyBorder="1" applyAlignment="1">
      <alignment horizontal="right" vertical="center" wrapText="1"/>
    </xf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" fontId="12" fillId="0" borderId="1" xfId="0" applyNumberFormat="1" applyFont="1" applyFill="1" applyBorder="1" applyAlignment="1">
      <alignment horizontal="right" vertical="center"/>
    </xf>
    <xf numFmtId="1" fontId="12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" fontId="6" fillId="0" borderId="3" xfId="0" applyNumberFormat="1" applyFont="1" applyFill="1" applyBorder="1" applyAlignment="1">
      <alignment horizontal="right" vertical="center"/>
    </xf>
    <xf numFmtId="0" fontId="41" fillId="0" borderId="1" xfId="0" applyFont="1" applyBorder="1"/>
    <xf numFmtId="0" fontId="31" fillId="0" borderId="0" xfId="0" applyFont="1" applyAlignment="1">
      <alignment horizontal="center"/>
    </xf>
    <xf numFmtId="0" fontId="41" fillId="0" borderId="3" xfId="0" applyFont="1" applyFill="1" applyBorder="1"/>
    <xf numFmtId="177" fontId="19" fillId="0" borderId="1" xfId="0" applyNumberFormat="1" applyFont="1" applyFill="1" applyBorder="1" applyAlignment="1">
      <alignment horizontal="left" vertical="center"/>
    </xf>
    <xf numFmtId="177" fontId="39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left" vertical="center"/>
    </xf>
    <xf numFmtId="177" fontId="17" fillId="0" borderId="1" xfId="0" applyNumberFormat="1" applyFont="1" applyFill="1" applyBorder="1" applyAlignment="1">
      <alignment horizontal="left"/>
    </xf>
    <xf numFmtId="177" fontId="4" fillId="0" borderId="1" xfId="0" applyNumberFormat="1" applyFont="1" applyFill="1" applyBorder="1" applyAlignment="1">
      <alignment horizontal="left"/>
    </xf>
    <xf numFmtId="177" fontId="19" fillId="0" borderId="1" xfId="0" applyNumberFormat="1" applyFont="1" applyFill="1" applyBorder="1" applyAlignment="1">
      <alignment horizontal="left"/>
    </xf>
    <xf numFmtId="177" fontId="17" fillId="0" borderId="1" xfId="0" applyNumberFormat="1" applyFont="1" applyFill="1" applyBorder="1" applyAlignment="1">
      <alignment horizontal="left" vertical="center"/>
    </xf>
    <xf numFmtId="0" fontId="38" fillId="0" borderId="1" xfId="0" applyFont="1" applyFill="1" applyBorder="1" applyAlignment="1">
      <alignment vertical="center"/>
    </xf>
  </cellXfs>
  <cellStyles count="57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Normal 8" xfId="19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Normal 2" xfId="34"/>
    <cellStyle name="20% - Accent5" xfId="35" builtinId="46"/>
    <cellStyle name="60% - Accent1" xfId="36" builtinId="32"/>
    <cellStyle name="Accent2" xfId="37" builtinId="33"/>
    <cellStyle name="20% - Accent2" xfId="38" builtinId="34"/>
    <cellStyle name="Normal 3" xfId="39"/>
    <cellStyle name="20% - Accent6" xfId="40" builtinId="50"/>
    <cellStyle name="60% - Accent2" xfId="41" builtinId="36"/>
    <cellStyle name="Accent3" xfId="42" builtinId="37"/>
    <cellStyle name="20% - Accent3" xfId="43" builtinId="38"/>
    <cellStyle name="Accent4" xfId="44" builtinId="41"/>
    <cellStyle name="20% - Accent4" xfId="45" builtinId="42"/>
    <cellStyle name="40% - Accent4" xfId="46" builtinId="43"/>
    <cellStyle name="Accent5" xfId="47" builtinId="45"/>
    <cellStyle name="40% - Accent5" xfId="48" builtinId="47"/>
    <cellStyle name="Normal 6" xfId="49"/>
    <cellStyle name="60% - Accent5" xfId="50" builtinId="48"/>
    <cellStyle name="Accent6" xfId="51" builtinId="49"/>
    <cellStyle name="40% - Accent6" xfId="52" builtinId="51"/>
    <cellStyle name="Normal 7" xfId="53"/>
    <cellStyle name="60% - Accent6" xfId="54" builtinId="52"/>
    <cellStyle name="Normal 2 2 3" xfId="55"/>
    <cellStyle name="Normal 2 2" xfId="56"/>
  </cellStyles>
  <tableStyles count="0" defaultTableStyle="TableStyleMedium9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37</xdr:row>
      <xdr:rowOff>137795</xdr:rowOff>
    </xdr:from>
    <xdr:to>
      <xdr:col>7</xdr:col>
      <xdr:colOff>9525</xdr:colOff>
      <xdr:row>39</xdr:row>
      <xdr:rowOff>133350</xdr:rowOff>
    </xdr:to>
    <xdr:pic>
      <xdr:nvPicPr>
        <xdr:cNvPr id="2" name="Picture 23" descr="CSI -26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12965" y="9173845"/>
          <a:ext cx="9525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37</xdr:row>
      <xdr:rowOff>137795</xdr:rowOff>
    </xdr:from>
    <xdr:to>
      <xdr:col>7</xdr:col>
      <xdr:colOff>9525</xdr:colOff>
      <xdr:row>40</xdr:row>
      <xdr:rowOff>33020</xdr:rowOff>
    </xdr:to>
    <xdr:pic>
      <xdr:nvPicPr>
        <xdr:cNvPr id="3" name="Picture 24" descr="CSI-27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12965" y="9173845"/>
          <a:ext cx="952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143510</xdr:rowOff>
    </xdr:from>
    <xdr:to>
      <xdr:col>7</xdr:col>
      <xdr:colOff>9525</xdr:colOff>
      <xdr:row>42</xdr:row>
      <xdr:rowOff>23495</xdr:rowOff>
    </xdr:to>
    <xdr:pic>
      <xdr:nvPicPr>
        <xdr:cNvPr id="4" name="Picture 22" descr="DSC07501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212965" y="9341485"/>
          <a:ext cx="952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82550</xdr:rowOff>
    </xdr:from>
    <xdr:to>
      <xdr:col>7</xdr:col>
      <xdr:colOff>9525</xdr:colOff>
      <xdr:row>42</xdr:row>
      <xdr:rowOff>38100</xdr:rowOff>
    </xdr:to>
    <xdr:pic>
      <xdr:nvPicPr>
        <xdr:cNvPr id="5" name="Picture 23" descr="DSC07498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12965" y="9280525"/>
          <a:ext cx="9525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39</xdr:row>
      <xdr:rowOff>158115</xdr:rowOff>
    </xdr:to>
    <xdr:pic>
      <xdr:nvPicPr>
        <xdr:cNvPr id="6" name="Picture 23" descr="CSI -26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212965" y="9197975"/>
          <a:ext cx="9525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40</xdr:row>
      <xdr:rowOff>57150</xdr:rowOff>
    </xdr:to>
    <xdr:pic>
      <xdr:nvPicPr>
        <xdr:cNvPr id="7" name="Picture 24" descr="CSI-27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212965" y="9197975"/>
          <a:ext cx="952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205740</xdr:rowOff>
    </xdr:from>
    <xdr:to>
      <xdr:col>7</xdr:col>
      <xdr:colOff>10160</xdr:colOff>
      <xdr:row>31</xdr:row>
      <xdr:rowOff>13335</xdr:rowOff>
    </xdr:to>
    <xdr:pic>
      <xdr:nvPicPr>
        <xdr:cNvPr id="8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7353300"/>
          <a:ext cx="10160" cy="17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10160</xdr:colOff>
      <xdr:row>35</xdr:row>
      <xdr:rowOff>175895</xdr:rowOff>
    </xdr:to>
    <xdr:pic>
      <xdr:nvPicPr>
        <xdr:cNvPr id="19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8518525"/>
          <a:ext cx="10160" cy="17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33</xdr:row>
      <xdr:rowOff>205740</xdr:rowOff>
    </xdr:from>
    <xdr:to>
      <xdr:col>7</xdr:col>
      <xdr:colOff>10160</xdr:colOff>
      <xdr:row>34</xdr:row>
      <xdr:rowOff>175895</xdr:rowOff>
    </xdr:to>
    <xdr:pic>
      <xdr:nvPicPr>
        <xdr:cNvPr id="20" name="Picture 13" descr="IMG_4264 copy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12965" y="8194675"/>
          <a:ext cx="10160" cy="175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5"/>
  <sheetViews>
    <sheetView tabSelected="1" workbookViewId="0">
      <selection activeCell="A2" sqref="$A1:$XFD2"/>
    </sheetView>
  </sheetViews>
  <sheetFormatPr defaultColWidth="9.14285714285714" defaultRowHeight="15.75"/>
  <cols>
    <col min="1" max="1" width="7.85714285714286" style="171" customWidth="1"/>
    <col min="2" max="2" width="22.1428571428571" style="172" customWidth="1"/>
    <col min="3" max="3" width="42.1428571428571" style="173" customWidth="1"/>
    <col min="4" max="4" width="17.1428571428571" style="174" customWidth="1"/>
    <col min="5" max="5" width="28.7142857142857" style="175" customWidth="1"/>
    <col min="6" max="6" width="57.4285714285714" style="176" customWidth="1"/>
    <col min="7" max="7" width="11.8571428571429" style="177"/>
    <col min="8" max="8" width="9.14285714285714" style="177"/>
    <col min="9" max="10" width="9.14285714285714" style="178"/>
    <col min="11" max="16384" width="9.14285714285714" style="169"/>
  </cols>
  <sheetData>
    <row r="1" s="31" customFormat="1" ht="24" customHeight="1" spans="1:9">
      <c r="A1" s="34" t="s">
        <v>0</v>
      </c>
      <c r="B1" s="179" t="s">
        <v>1</v>
      </c>
      <c r="C1" s="34" t="s">
        <v>2</v>
      </c>
      <c r="D1" s="34" t="s">
        <v>3</v>
      </c>
      <c r="E1" s="180" t="s">
        <v>4</v>
      </c>
      <c r="F1" s="181" t="s">
        <v>5</v>
      </c>
      <c r="G1" s="34" t="s">
        <v>6</v>
      </c>
      <c r="H1" s="34" t="s">
        <v>7</v>
      </c>
      <c r="I1" s="34" t="s">
        <v>8</v>
      </c>
    </row>
    <row r="2" s="169" customFormat="1" customHeight="1" spans="1:10">
      <c r="A2" s="182"/>
      <c r="B2" s="183" t="s">
        <v>9</v>
      </c>
      <c r="C2" s="59" t="s">
        <v>10</v>
      </c>
      <c r="E2" s="29" t="s">
        <v>11</v>
      </c>
      <c r="F2" s="133" t="s">
        <v>12</v>
      </c>
      <c r="G2" s="112">
        <f>H2*1.7</f>
        <v>42731.2</v>
      </c>
      <c r="H2" s="184">
        <v>25136</v>
      </c>
      <c r="I2" s="178"/>
      <c r="J2" s="178"/>
    </row>
    <row r="3" s="169" customFormat="1" customHeight="1" spans="1:10">
      <c r="A3" s="182"/>
      <c r="B3" s="61" t="s">
        <v>13</v>
      </c>
      <c r="C3" s="61" t="s">
        <v>14</v>
      </c>
      <c r="D3" s="185"/>
      <c r="E3" s="21" t="s">
        <v>15</v>
      </c>
      <c r="F3" s="133" t="s">
        <v>12</v>
      </c>
      <c r="G3" s="112">
        <f t="shared" ref="G3:G66" si="0">H3*1.7</f>
        <v>38576.4</v>
      </c>
      <c r="H3" s="186">
        <v>22692</v>
      </c>
      <c r="I3" s="178"/>
      <c r="J3" s="178"/>
    </row>
    <row r="4" s="169" customFormat="1" customHeight="1" spans="1:10">
      <c r="A4" s="182"/>
      <c r="B4" s="61" t="s">
        <v>16</v>
      </c>
      <c r="C4" s="187" t="s">
        <v>17</v>
      </c>
      <c r="D4" s="185"/>
      <c r="E4" s="21" t="s">
        <v>11</v>
      </c>
      <c r="F4" s="133" t="s">
        <v>12</v>
      </c>
      <c r="G4" s="112">
        <f t="shared" si="0"/>
        <v>46427</v>
      </c>
      <c r="H4" s="188">
        <v>27310</v>
      </c>
      <c r="I4" s="178"/>
      <c r="J4" s="178"/>
    </row>
    <row r="5" s="169" customFormat="1" customHeight="1" spans="1:10">
      <c r="A5" s="182"/>
      <c r="B5" s="61" t="s">
        <v>18</v>
      </c>
      <c r="C5" s="187" t="s">
        <v>19</v>
      </c>
      <c r="D5" s="185"/>
      <c r="E5" s="21" t="s">
        <v>15</v>
      </c>
      <c r="F5" s="133" t="s">
        <v>12</v>
      </c>
      <c r="G5" s="112">
        <f t="shared" si="0"/>
        <v>42486.4</v>
      </c>
      <c r="H5" s="188">
        <v>24992</v>
      </c>
      <c r="I5" s="178"/>
      <c r="J5" s="178"/>
    </row>
    <row r="6" s="169" customFormat="1" customHeight="1" spans="1:10">
      <c r="A6" s="182"/>
      <c r="B6" s="61" t="s">
        <v>20</v>
      </c>
      <c r="C6" s="61" t="s">
        <v>21</v>
      </c>
      <c r="D6" s="185"/>
      <c r="E6" s="21" t="s">
        <v>22</v>
      </c>
      <c r="F6" s="133" t="s">
        <v>12</v>
      </c>
      <c r="G6" s="112">
        <f t="shared" si="0"/>
        <v>52120.3</v>
      </c>
      <c r="H6" s="189">
        <v>30659</v>
      </c>
      <c r="I6" s="178"/>
      <c r="J6" s="178"/>
    </row>
    <row r="7" s="169" customFormat="1" customHeight="1" spans="1:10">
      <c r="A7" s="182"/>
      <c r="B7" s="61" t="s">
        <v>23</v>
      </c>
      <c r="C7" s="61" t="s">
        <v>24</v>
      </c>
      <c r="D7" s="185"/>
      <c r="E7" s="190" t="s">
        <v>25</v>
      </c>
      <c r="F7" s="133" t="s">
        <v>12</v>
      </c>
      <c r="G7" s="112">
        <f t="shared" si="0"/>
        <v>18241</v>
      </c>
      <c r="H7" s="189">
        <v>10730</v>
      </c>
      <c r="I7" s="178"/>
      <c r="J7" s="178"/>
    </row>
    <row r="8" s="169" customFormat="1" customHeight="1" spans="1:10">
      <c r="A8" s="182"/>
      <c r="B8" s="61" t="s">
        <v>26</v>
      </c>
      <c r="C8" s="191" t="s">
        <v>27</v>
      </c>
      <c r="D8" s="185"/>
      <c r="E8" s="192" t="s">
        <v>28</v>
      </c>
      <c r="F8" s="133" t="s">
        <v>12</v>
      </c>
      <c r="G8" s="112">
        <f t="shared" si="0"/>
        <v>6252.6</v>
      </c>
      <c r="H8" s="189">
        <v>3678</v>
      </c>
      <c r="I8" s="210"/>
      <c r="J8" s="178"/>
    </row>
    <row r="9" s="169" customFormat="1" customHeight="1" spans="1:10">
      <c r="A9" s="182"/>
      <c r="B9" s="61" t="s">
        <v>29</v>
      </c>
      <c r="C9" s="61" t="s">
        <v>30</v>
      </c>
      <c r="D9" s="185"/>
      <c r="E9" s="21" t="s">
        <v>11</v>
      </c>
      <c r="F9" s="193" t="s">
        <v>31</v>
      </c>
      <c r="G9" s="112">
        <f t="shared" si="0"/>
        <v>44172.8</v>
      </c>
      <c r="H9" s="186">
        <v>25984</v>
      </c>
      <c r="I9" s="178"/>
      <c r="J9" s="178"/>
    </row>
    <row r="10" s="169" customFormat="1" customHeight="1" spans="1:10">
      <c r="A10" s="182"/>
      <c r="B10" s="61" t="s">
        <v>32</v>
      </c>
      <c r="C10" s="61" t="s">
        <v>30</v>
      </c>
      <c r="D10" s="185"/>
      <c r="E10" s="21" t="s">
        <v>15</v>
      </c>
      <c r="F10" s="193" t="s">
        <v>31</v>
      </c>
      <c r="G10" s="112">
        <f t="shared" si="0"/>
        <v>42129.4</v>
      </c>
      <c r="H10" s="186">
        <v>24782</v>
      </c>
      <c r="I10" s="178"/>
      <c r="J10" s="178"/>
    </row>
    <row r="11" s="169" customFormat="1" customHeight="1" spans="1:10">
      <c r="A11" s="182"/>
      <c r="B11" s="61" t="s">
        <v>33</v>
      </c>
      <c r="C11" s="187" t="s">
        <v>34</v>
      </c>
      <c r="D11" s="185"/>
      <c r="E11" s="21" t="s">
        <v>11</v>
      </c>
      <c r="F11" s="193" t="s">
        <v>31</v>
      </c>
      <c r="G11" s="112">
        <f t="shared" si="0"/>
        <v>50474.7</v>
      </c>
      <c r="H11" s="189">
        <v>29691</v>
      </c>
      <c r="I11" s="178"/>
      <c r="J11" s="178"/>
    </row>
    <row r="12" s="169" customFormat="1" customHeight="1" spans="1:10">
      <c r="A12" s="182"/>
      <c r="B12" s="61" t="s">
        <v>35</v>
      </c>
      <c r="C12" s="187" t="s">
        <v>17</v>
      </c>
      <c r="D12" s="185"/>
      <c r="E12" s="21" t="s">
        <v>15</v>
      </c>
      <c r="F12" s="193" t="s">
        <v>31</v>
      </c>
      <c r="G12" s="112">
        <f t="shared" si="0"/>
        <v>46687.1</v>
      </c>
      <c r="H12" s="189">
        <v>27463</v>
      </c>
      <c r="I12" s="178"/>
      <c r="J12" s="178"/>
    </row>
    <row r="13" s="169" customFormat="1" customHeight="1" spans="1:10">
      <c r="A13" s="182"/>
      <c r="B13" s="61" t="s">
        <v>36</v>
      </c>
      <c r="C13" s="61" t="s">
        <v>37</v>
      </c>
      <c r="D13" s="185"/>
      <c r="E13" s="21" t="s">
        <v>22</v>
      </c>
      <c r="F13" s="193" t="s">
        <v>31</v>
      </c>
      <c r="G13" s="112">
        <f t="shared" si="0"/>
        <v>52120.3</v>
      </c>
      <c r="H13" s="189">
        <v>30659</v>
      </c>
      <c r="I13" s="178"/>
      <c r="J13" s="178"/>
    </row>
    <row r="14" s="169" customFormat="1" customHeight="1" spans="1:10">
      <c r="A14" s="182"/>
      <c r="B14" s="61" t="s">
        <v>38</v>
      </c>
      <c r="C14" s="61" t="s">
        <v>24</v>
      </c>
      <c r="D14" s="185"/>
      <c r="E14" s="190" t="s">
        <v>25</v>
      </c>
      <c r="F14" s="193" t="s">
        <v>31</v>
      </c>
      <c r="G14" s="112">
        <f t="shared" si="0"/>
        <v>18241</v>
      </c>
      <c r="H14" s="189">
        <v>10730</v>
      </c>
      <c r="I14" s="178"/>
      <c r="J14" s="178"/>
    </row>
    <row r="15" s="169" customFormat="1" customHeight="1" spans="1:10">
      <c r="A15" s="182"/>
      <c r="B15" s="61" t="s">
        <v>39</v>
      </c>
      <c r="C15" s="61" t="s">
        <v>27</v>
      </c>
      <c r="D15" s="185"/>
      <c r="E15" s="192" t="s">
        <v>28</v>
      </c>
      <c r="F15" s="193" t="s">
        <v>31</v>
      </c>
      <c r="G15" s="112">
        <f t="shared" si="0"/>
        <v>6252.6</v>
      </c>
      <c r="H15" s="189">
        <v>3678</v>
      </c>
      <c r="I15" s="178"/>
      <c r="J15" s="178"/>
    </row>
    <row r="16" s="169" customFormat="1" customHeight="1" spans="1:10">
      <c r="A16" s="182"/>
      <c r="B16" s="61" t="s">
        <v>40</v>
      </c>
      <c r="C16" s="61" t="s">
        <v>41</v>
      </c>
      <c r="D16" s="185"/>
      <c r="E16" s="21" t="s">
        <v>11</v>
      </c>
      <c r="F16" s="193" t="s">
        <v>42</v>
      </c>
      <c r="G16" s="112">
        <f t="shared" si="0"/>
        <v>32645.1</v>
      </c>
      <c r="H16" s="189">
        <v>19203</v>
      </c>
      <c r="I16" s="178"/>
      <c r="J16" s="178"/>
    </row>
    <row r="17" s="169" customFormat="1" customHeight="1" spans="1:10">
      <c r="A17" s="182"/>
      <c r="B17" s="61" t="s">
        <v>43</v>
      </c>
      <c r="C17" s="61" t="s">
        <v>44</v>
      </c>
      <c r="D17" s="185"/>
      <c r="E17" s="21" t="s">
        <v>15</v>
      </c>
      <c r="F17" s="193" t="s">
        <v>42</v>
      </c>
      <c r="G17" s="112">
        <f t="shared" si="0"/>
        <v>29923.4</v>
      </c>
      <c r="H17" s="189">
        <v>17602</v>
      </c>
      <c r="I17" s="178"/>
      <c r="J17" s="178"/>
    </row>
    <row r="18" s="169" customFormat="1" customHeight="1" spans="1:10">
      <c r="A18" s="182"/>
      <c r="B18" s="61" t="s">
        <v>45</v>
      </c>
      <c r="C18" s="61" t="s">
        <v>46</v>
      </c>
      <c r="D18" s="185"/>
      <c r="E18" s="21" t="s">
        <v>47</v>
      </c>
      <c r="F18" s="193" t="s">
        <v>42</v>
      </c>
      <c r="G18" s="112">
        <f t="shared" si="0"/>
        <v>20464.6</v>
      </c>
      <c r="H18" s="189">
        <v>12038</v>
      </c>
      <c r="I18" s="178"/>
      <c r="J18" s="178"/>
    </row>
    <row r="19" s="169" customFormat="1" customHeight="1" spans="1:10">
      <c r="A19" s="182"/>
      <c r="B19" s="61" t="s">
        <v>48</v>
      </c>
      <c r="C19" s="61" t="s">
        <v>49</v>
      </c>
      <c r="D19" s="185"/>
      <c r="E19" s="21" t="s">
        <v>50</v>
      </c>
      <c r="F19" s="193" t="s">
        <v>42</v>
      </c>
      <c r="G19" s="112">
        <f t="shared" si="0"/>
        <v>29195.8</v>
      </c>
      <c r="H19" s="189">
        <v>17174</v>
      </c>
      <c r="I19" s="178"/>
      <c r="J19" s="178"/>
    </row>
    <row r="20" s="169" customFormat="1" customHeight="1" spans="1:10">
      <c r="A20" s="182"/>
      <c r="B20" s="61" t="s">
        <v>51</v>
      </c>
      <c r="C20" s="61" t="s">
        <v>52</v>
      </c>
      <c r="D20" s="185"/>
      <c r="E20" s="21" t="s">
        <v>53</v>
      </c>
      <c r="F20" s="193" t="s">
        <v>42</v>
      </c>
      <c r="G20" s="112">
        <f t="shared" si="0"/>
        <v>14660.8</v>
      </c>
      <c r="H20" s="189">
        <v>8624</v>
      </c>
      <c r="I20" s="178"/>
      <c r="J20" s="178"/>
    </row>
    <row r="21" s="169" customFormat="1" ht="35" customHeight="1" spans="1:10">
      <c r="A21" s="182"/>
      <c r="B21" s="61" t="s">
        <v>54</v>
      </c>
      <c r="C21" s="61" t="s">
        <v>55</v>
      </c>
      <c r="D21" s="185"/>
      <c r="E21" s="21" t="s">
        <v>28</v>
      </c>
      <c r="F21" s="193" t="s">
        <v>42</v>
      </c>
      <c r="G21" s="112">
        <f t="shared" si="0"/>
        <v>3471.4</v>
      </c>
      <c r="H21" s="189">
        <v>2042</v>
      </c>
      <c r="I21" s="178"/>
      <c r="J21" s="178"/>
    </row>
    <row r="22" customFormat="1" customHeight="1" spans="1:10">
      <c r="A22" s="182"/>
      <c r="B22" s="61" t="s">
        <v>56</v>
      </c>
      <c r="C22" s="187" t="s">
        <v>57</v>
      </c>
      <c r="D22" s="194"/>
      <c r="E22" s="195" t="s">
        <v>11</v>
      </c>
      <c r="F22" s="193" t="s">
        <v>58</v>
      </c>
      <c r="G22" s="112">
        <f t="shared" si="0"/>
        <v>38613.8</v>
      </c>
      <c r="H22" s="189">
        <v>22714</v>
      </c>
      <c r="I22" s="174"/>
      <c r="J22" s="174"/>
    </row>
    <row r="23" customFormat="1" customHeight="1" spans="1:10">
      <c r="A23" s="182"/>
      <c r="B23" s="61" t="s">
        <v>59</v>
      </c>
      <c r="C23" s="187" t="s">
        <v>57</v>
      </c>
      <c r="D23" s="194"/>
      <c r="E23" s="195" t="s">
        <v>15</v>
      </c>
      <c r="F23" s="193" t="s">
        <v>58</v>
      </c>
      <c r="G23" s="112">
        <f t="shared" si="0"/>
        <v>36242.3</v>
      </c>
      <c r="H23" s="186">
        <v>21319</v>
      </c>
      <c r="I23" s="174"/>
      <c r="J23" s="174"/>
    </row>
    <row r="24" customFormat="1" customHeight="1" spans="1:10">
      <c r="A24" s="182"/>
      <c r="B24" s="61" t="s">
        <v>60</v>
      </c>
      <c r="C24" s="61" t="s">
        <v>61</v>
      </c>
      <c r="D24" s="194"/>
      <c r="E24" s="190" t="s">
        <v>62</v>
      </c>
      <c r="F24" s="193" t="s">
        <v>58</v>
      </c>
      <c r="G24" s="112">
        <f t="shared" si="0"/>
        <v>48351.4</v>
      </c>
      <c r="H24" s="189">
        <v>28442</v>
      </c>
      <c r="I24" s="174"/>
      <c r="J24" s="174"/>
    </row>
    <row r="25" s="170" customFormat="1" customHeight="1" spans="1:10">
      <c r="A25" s="182"/>
      <c r="B25" s="61" t="s">
        <v>63</v>
      </c>
      <c r="C25" s="61" t="s">
        <v>64</v>
      </c>
      <c r="D25" s="196"/>
      <c r="E25" s="190" t="s">
        <v>65</v>
      </c>
      <c r="F25" s="193" t="s">
        <v>58</v>
      </c>
      <c r="G25" s="112">
        <f t="shared" si="0"/>
        <v>15561.8</v>
      </c>
      <c r="H25" s="189">
        <v>9154</v>
      </c>
      <c r="I25" s="178"/>
      <c r="J25" s="178"/>
    </row>
    <row r="26" s="170" customFormat="1" customHeight="1" spans="1:10">
      <c r="A26" s="182"/>
      <c r="B26" s="61" t="s">
        <v>66</v>
      </c>
      <c r="C26" s="61" t="s">
        <v>67</v>
      </c>
      <c r="D26" s="196"/>
      <c r="E26" s="190" t="s">
        <v>68</v>
      </c>
      <c r="F26" s="193" t="s">
        <v>58</v>
      </c>
      <c r="G26" s="112">
        <f t="shared" si="0"/>
        <v>4338.4</v>
      </c>
      <c r="H26" s="189">
        <v>2552</v>
      </c>
      <c r="I26" s="178"/>
      <c r="J26" s="178"/>
    </row>
    <row r="27" s="169" customFormat="1" customHeight="1" spans="1:10">
      <c r="A27" s="182"/>
      <c r="B27" s="61" t="s">
        <v>69</v>
      </c>
      <c r="C27" s="187" t="s">
        <v>57</v>
      </c>
      <c r="D27" s="185"/>
      <c r="E27" s="195" t="s">
        <v>11</v>
      </c>
      <c r="F27" s="193" t="s">
        <v>70</v>
      </c>
      <c r="G27" s="112">
        <f t="shared" si="0"/>
        <v>37345.6</v>
      </c>
      <c r="H27" s="189">
        <v>21968</v>
      </c>
      <c r="I27" s="178"/>
      <c r="J27" s="178"/>
    </row>
    <row r="28" s="169" customFormat="1" customHeight="1" spans="1:10">
      <c r="A28" s="182"/>
      <c r="B28" s="61" t="s">
        <v>71</v>
      </c>
      <c r="C28" s="187" t="s">
        <v>57</v>
      </c>
      <c r="D28" s="185"/>
      <c r="E28" s="195" t="s">
        <v>15</v>
      </c>
      <c r="F28" s="193" t="s">
        <v>70</v>
      </c>
      <c r="G28" s="112">
        <f t="shared" si="0"/>
        <v>32128.3</v>
      </c>
      <c r="H28" s="188">
        <v>18899</v>
      </c>
      <c r="I28" s="178"/>
      <c r="J28" s="178"/>
    </row>
    <row r="29" s="169" customFormat="1" customHeight="1" spans="1:10">
      <c r="A29" s="182"/>
      <c r="B29" s="61" t="s">
        <v>72</v>
      </c>
      <c r="C29" s="61" t="s">
        <v>73</v>
      </c>
      <c r="D29" s="185"/>
      <c r="E29" s="190" t="s">
        <v>74</v>
      </c>
      <c r="F29" s="193" t="s">
        <v>70</v>
      </c>
      <c r="G29" s="112">
        <f t="shared" si="0"/>
        <v>58126.4</v>
      </c>
      <c r="H29" s="189">
        <v>34192</v>
      </c>
      <c r="I29" s="178"/>
      <c r="J29" s="178"/>
    </row>
    <row r="30" s="169" customFormat="1" customHeight="1" spans="1:10">
      <c r="A30" s="182"/>
      <c r="B30" s="61" t="s">
        <v>75</v>
      </c>
      <c r="C30" s="61" t="s">
        <v>64</v>
      </c>
      <c r="D30" s="185"/>
      <c r="E30" s="190" t="s">
        <v>76</v>
      </c>
      <c r="F30" s="193" t="s">
        <v>70</v>
      </c>
      <c r="G30" s="112">
        <f t="shared" si="0"/>
        <v>10614.8</v>
      </c>
      <c r="H30" s="189">
        <v>6244</v>
      </c>
      <c r="I30" s="178"/>
      <c r="J30" s="178"/>
    </row>
    <row r="31" s="169" customFormat="1" customHeight="1" spans="1:10">
      <c r="A31" s="182"/>
      <c r="B31" s="61" t="s">
        <v>77</v>
      </c>
      <c r="C31" s="61" t="s">
        <v>78</v>
      </c>
      <c r="D31" s="185"/>
      <c r="E31" s="190" t="s">
        <v>79</v>
      </c>
      <c r="F31" s="193" t="s">
        <v>70</v>
      </c>
      <c r="G31" s="112">
        <f t="shared" si="0"/>
        <v>4875.6</v>
      </c>
      <c r="H31" s="189">
        <v>2868</v>
      </c>
      <c r="I31" s="178"/>
      <c r="J31" s="178"/>
    </row>
    <row r="32" s="169" customFormat="1" customHeight="1" spans="1:10">
      <c r="A32" s="182"/>
      <c r="B32" s="61" t="s">
        <v>80</v>
      </c>
      <c r="C32" s="187" t="s">
        <v>81</v>
      </c>
      <c r="D32" s="185"/>
      <c r="E32" s="195" t="s">
        <v>11</v>
      </c>
      <c r="F32" s="193" t="s">
        <v>82</v>
      </c>
      <c r="G32" s="112">
        <f t="shared" si="0"/>
        <v>36121.6</v>
      </c>
      <c r="H32" s="188">
        <v>21248</v>
      </c>
      <c r="I32" s="178"/>
      <c r="J32" s="178"/>
    </row>
    <row r="33" s="169" customFormat="1" customHeight="1" spans="1:10">
      <c r="A33" s="182"/>
      <c r="B33" s="61" t="s">
        <v>83</v>
      </c>
      <c r="C33" s="187" t="s">
        <v>81</v>
      </c>
      <c r="D33" s="185"/>
      <c r="E33" s="195" t="s">
        <v>15</v>
      </c>
      <c r="F33" s="193" t="s">
        <v>82</v>
      </c>
      <c r="G33" s="112">
        <f t="shared" si="0"/>
        <v>32504</v>
      </c>
      <c r="H33" s="188">
        <v>19120</v>
      </c>
      <c r="I33" s="178"/>
      <c r="J33" s="178"/>
    </row>
    <row r="34" s="169" customFormat="1" spans="1:10">
      <c r="A34" s="182"/>
      <c r="B34" s="61" t="s">
        <v>84</v>
      </c>
      <c r="C34" s="61" t="s">
        <v>73</v>
      </c>
      <c r="D34" s="185"/>
      <c r="E34" s="190" t="s">
        <v>85</v>
      </c>
      <c r="F34" s="193" t="s">
        <v>82</v>
      </c>
      <c r="G34" s="112">
        <f t="shared" si="0"/>
        <v>51676.6</v>
      </c>
      <c r="H34" s="188">
        <v>30398</v>
      </c>
      <c r="I34" s="178"/>
      <c r="J34" s="178"/>
    </row>
    <row r="35" s="169" customFormat="1" spans="1:10">
      <c r="A35" s="182"/>
      <c r="B35" s="61" t="s">
        <v>86</v>
      </c>
      <c r="C35" s="61" t="s">
        <v>64</v>
      </c>
      <c r="D35" s="185"/>
      <c r="E35" s="190" t="s">
        <v>53</v>
      </c>
      <c r="F35" s="193" t="s">
        <v>82</v>
      </c>
      <c r="G35" s="112">
        <f t="shared" si="0"/>
        <v>13720.7</v>
      </c>
      <c r="H35" s="188">
        <v>8071</v>
      </c>
      <c r="I35" s="178"/>
      <c r="J35" s="178"/>
    </row>
    <row r="36" s="169" customFormat="1" spans="1:10">
      <c r="A36" s="182"/>
      <c r="B36" s="61" t="s">
        <v>87</v>
      </c>
      <c r="C36" s="61" t="s">
        <v>88</v>
      </c>
      <c r="D36" s="185"/>
      <c r="E36" s="190" t="s">
        <v>28</v>
      </c>
      <c r="F36" s="193" t="s">
        <v>82</v>
      </c>
      <c r="G36" s="112">
        <f t="shared" si="0"/>
        <v>3044.7</v>
      </c>
      <c r="H36" s="188">
        <v>1791</v>
      </c>
      <c r="I36" s="178"/>
      <c r="J36" s="178"/>
    </row>
    <row r="37" s="169" customFormat="1" spans="1:10">
      <c r="A37" s="182"/>
      <c r="B37" s="61" t="s">
        <v>89</v>
      </c>
      <c r="C37" s="61" t="s">
        <v>41</v>
      </c>
      <c r="D37" s="185"/>
      <c r="E37" s="197" t="s">
        <v>11</v>
      </c>
      <c r="F37" s="193" t="s">
        <v>90</v>
      </c>
      <c r="G37" s="112">
        <f t="shared" si="0"/>
        <v>30671.4</v>
      </c>
      <c r="H37" s="198">
        <v>18042</v>
      </c>
      <c r="I37" s="178"/>
      <c r="J37" s="178"/>
    </row>
    <row r="38" s="169" customFormat="1" spans="1:10">
      <c r="A38" s="182"/>
      <c r="B38" s="61" t="s">
        <v>91</v>
      </c>
      <c r="C38" s="61" t="s">
        <v>44</v>
      </c>
      <c r="D38" s="185"/>
      <c r="E38" s="195" t="s">
        <v>15</v>
      </c>
      <c r="F38" s="193" t="s">
        <v>90</v>
      </c>
      <c r="G38" s="112">
        <f t="shared" si="0"/>
        <v>27550.2</v>
      </c>
      <c r="H38" s="188">
        <v>16206</v>
      </c>
      <c r="I38" s="178"/>
      <c r="J38" s="178"/>
    </row>
    <row r="39" s="169" customFormat="1" spans="1:10">
      <c r="A39" s="182"/>
      <c r="B39" s="61" t="s">
        <v>92</v>
      </c>
      <c r="C39" s="61" t="s">
        <v>93</v>
      </c>
      <c r="D39" s="185"/>
      <c r="E39" s="190" t="s">
        <v>50</v>
      </c>
      <c r="F39" s="193" t="s">
        <v>90</v>
      </c>
      <c r="G39" s="112">
        <f t="shared" si="0"/>
        <v>28311.8</v>
      </c>
      <c r="H39" s="188">
        <v>16654</v>
      </c>
      <c r="I39" s="178"/>
      <c r="J39" s="178"/>
    </row>
    <row r="40" s="169" customFormat="1" spans="1:10">
      <c r="A40" s="182"/>
      <c r="B40" s="61" t="s">
        <v>94</v>
      </c>
      <c r="C40" s="61" t="s">
        <v>95</v>
      </c>
      <c r="D40" s="185"/>
      <c r="E40" s="190" t="s">
        <v>47</v>
      </c>
      <c r="F40" s="193" t="s">
        <v>90</v>
      </c>
      <c r="G40" s="112">
        <f t="shared" si="0"/>
        <v>19992</v>
      </c>
      <c r="H40" s="188">
        <v>11760</v>
      </c>
      <c r="I40" s="178"/>
      <c r="J40" s="178"/>
    </row>
    <row r="41" s="169" customFormat="1" spans="1:10">
      <c r="A41" s="182"/>
      <c r="B41" s="61" t="s">
        <v>96</v>
      </c>
      <c r="C41" s="61" t="s">
        <v>97</v>
      </c>
      <c r="D41" s="185"/>
      <c r="E41" s="190" t="s">
        <v>98</v>
      </c>
      <c r="F41" s="193" t="s">
        <v>90</v>
      </c>
      <c r="G41" s="112">
        <f t="shared" si="0"/>
        <v>11488.6</v>
      </c>
      <c r="H41" s="198">
        <v>6758</v>
      </c>
      <c r="I41" s="178"/>
      <c r="J41" s="178"/>
    </row>
    <row r="42" s="169" customFormat="1" spans="1:10">
      <c r="A42" s="182"/>
      <c r="B42" s="61" t="s">
        <v>99</v>
      </c>
      <c r="C42" s="61" t="s">
        <v>100</v>
      </c>
      <c r="D42" s="185"/>
      <c r="E42" s="190" t="s">
        <v>28</v>
      </c>
      <c r="F42" s="193" t="s">
        <v>90</v>
      </c>
      <c r="G42" s="112">
        <f t="shared" si="0"/>
        <v>3434</v>
      </c>
      <c r="H42" s="198">
        <v>2020</v>
      </c>
      <c r="I42" s="178"/>
      <c r="J42" s="178"/>
    </row>
    <row r="43" s="169" customFormat="1" spans="1:10">
      <c r="A43" s="182"/>
      <c r="B43" s="61" t="s">
        <v>101</v>
      </c>
      <c r="C43" s="187" t="s">
        <v>102</v>
      </c>
      <c r="D43" s="185"/>
      <c r="E43" s="195" t="s">
        <v>11</v>
      </c>
      <c r="F43" s="193" t="s">
        <v>103</v>
      </c>
      <c r="G43" s="112">
        <f t="shared" si="0"/>
        <v>34664.7</v>
      </c>
      <c r="H43" s="199">
        <v>20391</v>
      </c>
      <c r="I43" s="178"/>
      <c r="J43" s="178"/>
    </row>
    <row r="44" s="169" customFormat="1" spans="1:10">
      <c r="A44" s="182"/>
      <c r="B44" s="61" t="s">
        <v>104</v>
      </c>
      <c r="C44" s="187" t="s">
        <v>102</v>
      </c>
      <c r="D44" s="185"/>
      <c r="E44" s="195" t="s">
        <v>15</v>
      </c>
      <c r="F44" s="193" t="s">
        <v>103</v>
      </c>
      <c r="G44" s="112">
        <f t="shared" si="0"/>
        <v>31892</v>
      </c>
      <c r="H44" s="189">
        <v>18760</v>
      </c>
      <c r="I44" s="178"/>
      <c r="J44" s="178"/>
    </row>
    <row r="45" s="169" customFormat="1" spans="1:10">
      <c r="A45" s="182"/>
      <c r="B45" s="61" t="s">
        <v>105</v>
      </c>
      <c r="C45" s="61" t="s">
        <v>106</v>
      </c>
      <c r="D45" s="185"/>
      <c r="E45" s="200" t="s">
        <v>107</v>
      </c>
      <c r="F45" s="193" t="s">
        <v>103</v>
      </c>
      <c r="G45" s="112">
        <f t="shared" si="0"/>
        <v>30596.6</v>
      </c>
      <c r="H45" s="189">
        <v>17998</v>
      </c>
      <c r="I45" s="178"/>
      <c r="J45" s="178"/>
    </row>
    <row r="46" s="169" customFormat="1" spans="1:10">
      <c r="A46" s="182"/>
      <c r="B46" s="61" t="s">
        <v>108</v>
      </c>
      <c r="C46" s="61" t="s">
        <v>109</v>
      </c>
      <c r="D46" s="185"/>
      <c r="E46" s="201" t="s">
        <v>110</v>
      </c>
      <c r="F46" s="193" t="s">
        <v>103</v>
      </c>
      <c r="G46" s="112">
        <f t="shared" si="0"/>
        <v>23613</v>
      </c>
      <c r="H46" s="202">
        <v>13890</v>
      </c>
      <c r="I46" s="178"/>
      <c r="J46" s="178"/>
    </row>
    <row r="47" s="169" customFormat="1" spans="1:10">
      <c r="A47" s="182"/>
      <c r="B47" s="61" t="s">
        <v>111</v>
      </c>
      <c r="C47" s="61" t="s">
        <v>112</v>
      </c>
      <c r="D47" s="185"/>
      <c r="E47" s="203" t="s">
        <v>113</v>
      </c>
      <c r="F47" s="193" t="s">
        <v>103</v>
      </c>
      <c r="G47" s="112">
        <f t="shared" si="0"/>
        <v>13958.7</v>
      </c>
      <c r="H47" s="189">
        <v>8211</v>
      </c>
      <c r="I47" s="178"/>
      <c r="J47" s="178"/>
    </row>
    <row r="48" s="169" customFormat="1" spans="1:10">
      <c r="A48" s="182"/>
      <c r="B48" s="61" t="s">
        <v>114</v>
      </c>
      <c r="C48" s="61" t="s">
        <v>115</v>
      </c>
      <c r="D48" s="185"/>
      <c r="E48" s="190" t="s">
        <v>116</v>
      </c>
      <c r="F48" s="193" t="s">
        <v>103</v>
      </c>
      <c r="G48" s="112">
        <f t="shared" si="0"/>
        <v>4025.6</v>
      </c>
      <c r="H48" s="189">
        <v>2368</v>
      </c>
      <c r="I48" s="178"/>
      <c r="J48" s="178"/>
    </row>
    <row r="49" s="169" customFormat="1" spans="1:10">
      <c r="A49" s="182"/>
      <c r="B49" s="61" t="s">
        <v>117</v>
      </c>
      <c r="C49" s="193" t="s">
        <v>118</v>
      </c>
      <c r="D49" s="185"/>
      <c r="E49" s="204" t="s">
        <v>119</v>
      </c>
      <c r="F49" s="193" t="s">
        <v>120</v>
      </c>
      <c r="G49" s="112">
        <f t="shared" si="0"/>
        <v>16636.2</v>
      </c>
      <c r="H49" s="205">
        <v>9786</v>
      </c>
      <c r="I49" s="178"/>
      <c r="J49" s="178"/>
    </row>
    <row r="50" s="169" customFormat="1" spans="1:10">
      <c r="A50" s="182"/>
      <c r="B50" s="61" t="s">
        <v>121</v>
      </c>
      <c r="C50" s="61" t="s">
        <v>122</v>
      </c>
      <c r="D50" s="185"/>
      <c r="E50" s="21" t="s">
        <v>123</v>
      </c>
      <c r="F50" s="193" t="s">
        <v>120</v>
      </c>
      <c r="G50" s="112">
        <f t="shared" si="0"/>
        <v>42676.8</v>
      </c>
      <c r="H50" s="206">
        <v>25104</v>
      </c>
      <c r="I50" s="178"/>
      <c r="J50" s="178"/>
    </row>
    <row r="51" s="169" customFormat="1" spans="1:10">
      <c r="A51" s="182"/>
      <c r="B51" s="61" t="s">
        <v>124</v>
      </c>
      <c r="C51" s="61" t="s">
        <v>122</v>
      </c>
      <c r="D51" s="185"/>
      <c r="E51" s="21" t="s">
        <v>125</v>
      </c>
      <c r="F51" s="193" t="s">
        <v>120</v>
      </c>
      <c r="G51" s="112">
        <f t="shared" si="0"/>
        <v>38722.6</v>
      </c>
      <c r="H51" s="206">
        <v>22778</v>
      </c>
      <c r="I51" s="178"/>
      <c r="J51" s="178"/>
    </row>
    <row r="52" s="169" customFormat="1" spans="1:10">
      <c r="A52" s="182"/>
      <c r="B52" s="61" t="s">
        <v>126</v>
      </c>
      <c r="C52" s="61" t="s">
        <v>127</v>
      </c>
      <c r="D52" s="185"/>
      <c r="E52" s="21" t="s">
        <v>128</v>
      </c>
      <c r="F52" s="193" t="s">
        <v>120</v>
      </c>
      <c r="G52" s="112">
        <f t="shared" si="0"/>
        <v>38409.8</v>
      </c>
      <c r="H52" s="206">
        <v>22594</v>
      </c>
      <c r="I52" s="178"/>
      <c r="J52" s="178"/>
    </row>
    <row r="53" s="169" customFormat="1" spans="1:10">
      <c r="A53" s="182"/>
      <c r="B53" s="61" t="s">
        <v>129</v>
      </c>
      <c r="C53" s="61" t="s">
        <v>127</v>
      </c>
      <c r="D53" s="185"/>
      <c r="E53" s="21" t="s">
        <v>130</v>
      </c>
      <c r="F53" s="193" t="s">
        <v>120</v>
      </c>
      <c r="G53" s="112">
        <f t="shared" si="0"/>
        <v>34306</v>
      </c>
      <c r="H53" s="206">
        <v>20180</v>
      </c>
      <c r="I53" s="178"/>
      <c r="J53" s="178"/>
    </row>
    <row r="54" s="169" customFormat="1" spans="1:10">
      <c r="A54" s="182"/>
      <c r="B54" s="61" t="s">
        <v>131</v>
      </c>
      <c r="C54" s="187" t="s">
        <v>132</v>
      </c>
      <c r="D54" s="185"/>
      <c r="E54" s="21" t="s">
        <v>133</v>
      </c>
      <c r="F54" s="193" t="s">
        <v>120</v>
      </c>
      <c r="G54" s="112">
        <f t="shared" si="0"/>
        <v>24956</v>
      </c>
      <c r="H54" s="206">
        <v>14680</v>
      </c>
      <c r="I54" s="178"/>
      <c r="J54" s="178"/>
    </row>
    <row r="55" s="170" customFormat="1" spans="1:10">
      <c r="A55" s="182"/>
      <c r="B55" s="61" t="s">
        <v>134</v>
      </c>
      <c r="C55" s="61" t="s">
        <v>135</v>
      </c>
      <c r="D55" s="196"/>
      <c r="E55" s="21" t="s">
        <v>136</v>
      </c>
      <c r="F55" s="193" t="s">
        <v>120</v>
      </c>
      <c r="G55" s="112">
        <f t="shared" si="0"/>
        <v>11961.2</v>
      </c>
      <c r="H55" s="206">
        <v>7036</v>
      </c>
      <c r="I55" s="178"/>
      <c r="J55" s="178"/>
    </row>
    <row r="56" s="170" customFormat="1" spans="1:10">
      <c r="A56" s="182"/>
      <c r="B56" s="61" t="s">
        <v>137</v>
      </c>
      <c r="C56" s="61" t="s">
        <v>138</v>
      </c>
      <c r="D56" s="196"/>
      <c r="E56" s="21" t="s">
        <v>139</v>
      </c>
      <c r="F56" s="193" t="s">
        <v>120</v>
      </c>
      <c r="G56" s="112">
        <f t="shared" si="0"/>
        <v>5744.3</v>
      </c>
      <c r="H56" s="206">
        <v>3379</v>
      </c>
      <c r="I56" s="178"/>
      <c r="J56" s="178"/>
    </row>
    <row r="57" s="170" customFormat="1" spans="1:10">
      <c r="A57" s="182"/>
      <c r="B57" s="61" t="s">
        <v>140</v>
      </c>
      <c r="C57" s="61" t="s">
        <v>141</v>
      </c>
      <c r="D57" s="196"/>
      <c r="E57" s="21" t="s">
        <v>142</v>
      </c>
      <c r="F57" s="193" t="s">
        <v>120</v>
      </c>
      <c r="G57" s="112">
        <f t="shared" si="0"/>
        <v>14671</v>
      </c>
      <c r="H57" s="206">
        <v>8630</v>
      </c>
      <c r="I57" s="178"/>
      <c r="J57" s="178"/>
    </row>
    <row r="58" s="170" customFormat="1" spans="1:10">
      <c r="A58" s="182"/>
      <c r="B58" s="61" t="s">
        <v>143</v>
      </c>
      <c r="C58" s="61" t="s">
        <v>122</v>
      </c>
      <c r="D58" s="196"/>
      <c r="E58" s="207" t="s">
        <v>125</v>
      </c>
      <c r="F58" s="193" t="s">
        <v>144</v>
      </c>
      <c r="G58" s="112">
        <f t="shared" si="0"/>
        <v>35557.2</v>
      </c>
      <c r="H58" s="206">
        <v>20916</v>
      </c>
      <c r="I58" s="178"/>
      <c r="J58" s="178"/>
    </row>
    <row r="59" s="170" customFormat="1" spans="1:10">
      <c r="A59" s="182"/>
      <c r="B59" s="61" t="s">
        <v>145</v>
      </c>
      <c r="C59" s="61" t="s">
        <v>122</v>
      </c>
      <c r="D59" s="196"/>
      <c r="E59" s="207" t="s">
        <v>146</v>
      </c>
      <c r="F59" s="193" t="s">
        <v>144</v>
      </c>
      <c r="G59" s="112">
        <f t="shared" si="0"/>
        <v>39649.1</v>
      </c>
      <c r="H59" s="206">
        <v>23323</v>
      </c>
      <c r="I59" s="178"/>
      <c r="J59" s="178"/>
    </row>
    <row r="60" s="170" customFormat="1" spans="1:10">
      <c r="A60" s="182"/>
      <c r="B60" s="208" t="s">
        <v>147</v>
      </c>
      <c r="C60" s="187" t="s">
        <v>148</v>
      </c>
      <c r="D60" s="196"/>
      <c r="E60" s="207" t="s">
        <v>149</v>
      </c>
      <c r="F60" s="193" t="s">
        <v>144</v>
      </c>
      <c r="G60" s="112">
        <f t="shared" si="0"/>
        <v>41689.1</v>
      </c>
      <c r="H60" s="206">
        <v>24523</v>
      </c>
      <c r="I60" s="178"/>
      <c r="J60" s="178"/>
    </row>
    <row r="61" s="170" customFormat="1" spans="1:10">
      <c r="A61" s="182"/>
      <c r="B61" s="61" t="s">
        <v>150</v>
      </c>
      <c r="C61" s="61" t="s">
        <v>135</v>
      </c>
      <c r="D61" s="196"/>
      <c r="E61" s="207" t="s">
        <v>151</v>
      </c>
      <c r="F61" s="193" t="s">
        <v>144</v>
      </c>
      <c r="G61" s="112">
        <f t="shared" si="0"/>
        <v>9282</v>
      </c>
      <c r="H61" s="206">
        <v>5460</v>
      </c>
      <c r="I61" s="178"/>
      <c r="J61" s="178"/>
    </row>
    <row r="62" s="170" customFormat="1" spans="1:10">
      <c r="A62" s="182"/>
      <c r="B62" s="61" t="s">
        <v>152</v>
      </c>
      <c r="C62" s="61" t="s">
        <v>138</v>
      </c>
      <c r="D62" s="196"/>
      <c r="E62" s="207" t="s">
        <v>153</v>
      </c>
      <c r="F62" s="193" t="s">
        <v>144</v>
      </c>
      <c r="G62" s="112">
        <f t="shared" si="0"/>
        <v>4180.3</v>
      </c>
      <c r="H62" s="206">
        <v>2459</v>
      </c>
      <c r="I62" s="178"/>
      <c r="J62" s="178"/>
    </row>
    <row r="63" s="169" customFormat="1" spans="1:10">
      <c r="A63" s="182"/>
      <c r="B63" s="61" t="s">
        <v>154</v>
      </c>
      <c r="C63" s="61" t="s">
        <v>122</v>
      </c>
      <c r="D63" s="185"/>
      <c r="E63" s="21" t="s">
        <v>125</v>
      </c>
      <c r="F63" s="209" t="s">
        <v>155</v>
      </c>
      <c r="G63" s="112">
        <f t="shared" si="0"/>
        <v>34023.8</v>
      </c>
      <c r="H63" s="206">
        <v>20014</v>
      </c>
      <c r="I63" s="178"/>
      <c r="J63" s="178"/>
    </row>
    <row r="64" s="169" customFormat="1" spans="1:10">
      <c r="A64" s="182"/>
      <c r="B64" s="61" t="s">
        <v>156</v>
      </c>
      <c r="C64" s="61" t="s">
        <v>122</v>
      </c>
      <c r="D64" s="185"/>
      <c r="E64" s="21" t="s">
        <v>146</v>
      </c>
      <c r="F64" s="209" t="s">
        <v>155</v>
      </c>
      <c r="G64" s="112">
        <f t="shared" si="0"/>
        <v>38301</v>
      </c>
      <c r="H64" s="206">
        <v>22530</v>
      </c>
      <c r="I64" s="178"/>
      <c r="J64" s="178"/>
    </row>
    <row r="65" s="169" customFormat="1" spans="1:10">
      <c r="A65" s="182"/>
      <c r="B65" s="211" t="s">
        <v>157</v>
      </c>
      <c r="C65" s="61" t="s">
        <v>158</v>
      </c>
      <c r="D65" s="185"/>
      <c r="E65" s="212" t="s">
        <v>159</v>
      </c>
      <c r="F65" s="209" t="s">
        <v>155</v>
      </c>
      <c r="G65" s="112">
        <f t="shared" si="0"/>
        <v>58221.6</v>
      </c>
      <c r="H65" s="206">
        <v>34248</v>
      </c>
      <c r="I65" s="178"/>
      <c r="J65" s="178"/>
    </row>
    <row r="66" s="169" customFormat="1" spans="1:10">
      <c r="A66" s="182"/>
      <c r="B66" s="61" t="s">
        <v>160</v>
      </c>
      <c r="C66" s="61" t="s">
        <v>135</v>
      </c>
      <c r="D66" s="185"/>
      <c r="E66" s="21" t="s">
        <v>161</v>
      </c>
      <c r="F66" s="209" t="s">
        <v>155</v>
      </c>
      <c r="G66" s="112">
        <f t="shared" si="0"/>
        <v>13090</v>
      </c>
      <c r="H66" s="206">
        <v>7700</v>
      </c>
      <c r="I66" s="178"/>
      <c r="J66" s="178"/>
    </row>
    <row r="67" s="169" customFormat="1" spans="1:10">
      <c r="A67" s="182"/>
      <c r="B67" s="61" t="s">
        <v>162</v>
      </c>
      <c r="C67" s="61" t="s">
        <v>138</v>
      </c>
      <c r="D67" s="185"/>
      <c r="E67" s="21" t="s">
        <v>163</v>
      </c>
      <c r="F67" s="209" t="s">
        <v>155</v>
      </c>
      <c r="G67" s="112">
        <f t="shared" ref="G67:G130" si="1">H67*1.7</f>
        <v>4608.7</v>
      </c>
      <c r="H67" s="206">
        <v>2711</v>
      </c>
      <c r="I67" s="178"/>
      <c r="J67" s="178"/>
    </row>
    <row r="68" s="169" customFormat="1" spans="1:10">
      <c r="A68" s="182"/>
      <c r="B68" s="187" t="s">
        <v>164</v>
      </c>
      <c r="C68" s="187" t="s">
        <v>122</v>
      </c>
      <c r="D68" s="185"/>
      <c r="E68" s="21" t="s">
        <v>165</v>
      </c>
      <c r="F68" s="213" t="s">
        <v>166</v>
      </c>
      <c r="G68" s="112">
        <f t="shared" si="1"/>
        <v>43322.8</v>
      </c>
      <c r="H68" s="206">
        <v>25484</v>
      </c>
      <c r="I68" s="178"/>
      <c r="J68" s="178"/>
    </row>
    <row r="69" s="169" customFormat="1" spans="1:10">
      <c r="A69" s="182"/>
      <c r="B69" s="187" t="s">
        <v>167</v>
      </c>
      <c r="C69" s="187" t="s">
        <v>122</v>
      </c>
      <c r="D69" s="185"/>
      <c r="E69" s="21" t="s">
        <v>168</v>
      </c>
      <c r="F69" s="213" t="s">
        <v>166</v>
      </c>
      <c r="G69" s="112">
        <f t="shared" si="1"/>
        <v>47895.8</v>
      </c>
      <c r="H69" s="206">
        <v>28174</v>
      </c>
      <c r="I69" s="178"/>
      <c r="J69" s="178"/>
    </row>
    <row r="70" s="169" customFormat="1" spans="1:10">
      <c r="A70" s="182"/>
      <c r="B70" s="214" t="s">
        <v>169</v>
      </c>
      <c r="C70" s="187" t="s">
        <v>170</v>
      </c>
      <c r="D70" s="185"/>
      <c r="E70" s="212" t="s">
        <v>159</v>
      </c>
      <c r="F70" s="213" t="s">
        <v>166</v>
      </c>
      <c r="G70" s="112">
        <f t="shared" si="1"/>
        <v>56535.2</v>
      </c>
      <c r="H70" s="206">
        <v>33256</v>
      </c>
      <c r="I70" s="178"/>
      <c r="J70" s="178"/>
    </row>
    <row r="71" s="169" customFormat="1" spans="1:10">
      <c r="A71" s="182"/>
      <c r="B71" s="187" t="s">
        <v>171</v>
      </c>
      <c r="C71" s="187" t="s">
        <v>172</v>
      </c>
      <c r="D71" s="185"/>
      <c r="E71" s="215" t="s">
        <v>173</v>
      </c>
      <c r="F71" s="213" t="s">
        <v>166</v>
      </c>
      <c r="G71" s="112">
        <f t="shared" si="1"/>
        <v>19590.8</v>
      </c>
      <c r="H71" s="206">
        <v>11524</v>
      </c>
      <c r="I71" s="178"/>
      <c r="J71" s="178"/>
    </row>
    <row r="72" s="169" customFormat="1" spans="1:10">
      <c r="A72" s="182"/>
      <c r="B72" s="187" t="s">
        <v>174</v>
      </c>
      <c r="C72" s="187" t="s">
        <v>175</v>
      </c>
      <c r="D72" s="185"/>
      <c r="E72" s="215" t="s">
        <v>176</v>
      </c>
      <c r="F72" s="213" t="s">
        <v>166</v>
      </c>
      <c r="G72" s="112">
        <f t="shared" si="1"/>
        <v>4948.7</v>
      </c>
      <c r="H72" s="206">
        <v>2911</v>
      </c>
      <c r="I72" s="178"/>
      <c r="J72" s="178"/>
    </row>
    <row r="73" s="169" customFormat="1" spans="1:10">
      <c r="A73" s="182"/>
      <c r="B73" s="187" t="s">
        <v>177</v>
      </c>
      <c r="C73" s="187" t="s">
        <v>122</v>
      </c>
      <c r="D73" s="185"/>
      <c r="E73" s="21" t="s">
        <v>165</v>
      </c>
      <c r="F73" s="213" t="s">
        <v>178</v>
      </c>
      <c r="G73" s="112">
        <f t="shared" si="1"/>
        <v>34790.5</v>
      </c>
      <c r="H73" s="206">
        <v>20465</v>
      </c>
      <c r="I73" s="178"/>
      <c r="J73" s="178"/>
    </row>
    <row r="74" s="169" customFormat="1" spans="1:10">
      <c r="A74" s="182"/>
      <c r="B74" s="187" t="s">
        <v>179</v>
      </c>
      <c r="C74" s="187" t="s">
        <v>122</v>
      </c>
      <c r="D74" s="185"/>
      <c r="E74" s="21" t="s">
        <v>168</v>
      </c>
      <c r="F74" s="213" t="s">
        <v>178</v>
      </c>
      <c r="G74" s="112">
        <f t="shared" si="1"/>
        <v>38217.7</v>
      </c>
      <c r="H74" s="206">
        <v>22481</v>
      </c>
      <c r="I74" s="178"/>
      <c r="J74" s="178"/>
    </row>
    <row r="75" s="169" customFormat="1" spans="1:10">
      <c r="A75" s="182"/>
      <c r="B75" s="187" t="s">
        <v>180</v>
      </c>
      <c r="C75" s="187" t="s">
        <v>181</v>
      </c>
      <c r="D75" s="185"/>
      <c r="E75" s="215" t="s">
        <v>182</v>
      </c>
      <c r="F75" s="213" t="s">
        <v>178</v>
      </c>
      <c r="G75" s="112">
        <f t="shared" si="1"/>
        <v>34076.5</v>
      </c>
      <c r="H75" s="206">
        <v>20045</v>
      </c>
      <c r="I75" s="178"/>
      <c r="J75" s="178"/>
    </row>
    <row r="76" s="169" customFormat="1" spans="1:10">
      <c r="A76" s="182"/>
      <c r="B76" s="187" t="s">
        <v>183</v>
      </c>
      <c r="C76" s="187" t="s">
        <v>132</v>
      </c>
      <c r="D76" s="185"/>
      <c r="E76" s="215" t="s">
        <v>184</v>
      </c>
      <c r="F76" s="213" t="s">
        <v>178</v>
      </c>
      <c r="G76" s="112">
        <f t="shared" si="1"/>
        <v>23749</v>
      </c>
      <c r="H76" s="206">
        <v>13970</v>
      </c>
      <c r="I76" s="178"/>
      <c r="J76" s="178"/>
    </row>
    <row r="77" s="169" customFormat="1" spans="1:10">
      <c r="A77" s="182"/>
      <c r="B77" s="187" t="s">
        <v>185</v>
      </c>
      <c r="C77" s="187" t="s">
        <v>172</v>
      </c>
      <c r="D77" s="185"/>
      <c r="E77" s="215" t="s">
        <v>186</v>
      </c>
      <c r="F77" s="213" t="s">
        <v>178</v>
      </c>
      <c r="G77" s="112">
        <f t="shared" si="1"/>
        <v>12870.7</v>
      </c>
      <c r="H77" s="206">
        <v>7571</v>
      </c>
      <c r="I77" s="178"/>
      <c r="J77" s="178"/>
    </row>
    <row r="78" s="169" customFormat="1" spans="1:10">
      <c r="A78" s="182"/>
      <c r="B78" s="187" t="s">
        <v>187</v>
      </c>
      <c r="C78" s="187" t="s">
        <v>175</v>
      </c>
      <c r="D78" s="185"/>
      <c r="E78" s="215" t="s">
        <v>188</v>
      </c>
      <c r="F78" s="213" t="s">
        <v>178</v>
      </c>
      <c r="G78" s="112">
        <f t="shared" si="1"/>
        <v>4039.2</v>
      </c>
      <c r="H78" s="206">
        <v>2376</v>
      </c>
      <c r="I78" s="178"/>
      <c r="J78" s="178"/>
    </row>
    <row r="79" s="169" customFormat="1" spans="1:10">
      <c r="A79" s="182"/>
      <c r="B79" s="187" t="s">
        <v>189</v>
      </c>
      <c r="C79" s="187" t="s">
        <v>190</v>
      </c>
      <c r="D79" s="185"/>
      <c r="E79" s="21" t="s">
        <v>165</v>
      </c>
      <c r="F79" s="213" t="s">
        <v>191</v>
      </c>
      <c r="G79" s="112">
        <f t="shared" si="1"/>
        <v>31477.2</v>
      </c>
      <c r="H79" s="206">
        <v>18516</v>
      </c>
      <c r="I79" s="178"/>
      <c r="J79" s="178"/>
    </row>
    <row r="80" s="169" customFormat="1" spans="1:10">
      <c r="A80" s="182"/>
      <c r="B80" s="187" t="s">
        <v>192</v>
      </c>
      <c r="C80" s="187" t="s">
        <v>190</v>
      </c>
      <c r="D80" s="185"/>
      <c r="E80" s="21" t="s">
        <v>168</v>
      </c>
      <c r="F80" s="213" t="s">
        <v>191</v>
      </c>
      <c r="G80" s="112">
        <f t="shared" si="1"/>
        <v>34909.5</v>
      </c>
      <c r="H80" s="206">
        <v>20535</v>
      </c>
      <c r="I80" s="178"/>
      <c r="J80" s="178"/>
    </row>
    <row r="81" s="169" customFormat="1" spans="1:10">
      <c r="A81" s="182"/>
      <c r="B81" s="187" t="s">
        <v>193</v>
      </c>
      <c r="C81" s="187" t="s">
        <v>194</v>
      </c>
      <c r="D81" s="185"/>
      <c r="E81" s="215" t="s">
        <v>182</v>
      </c>
      <c r="F81" s="213" t="s">
        <v>191</v>
      </c>
      <c r="G81" s="112">
        <f t="shared" si="1"/>
        <v>39091.5</v>
      </c>
      <c r="H81" s="206">
        <v>22995</v>
      </c>
      <c r="I81" s="178"/>
      <c r="J81" s="178"/>
    </row>
    <row r="82" s="169" customFormat="1" spans="1:10">
      <c r="A82" s="182"/>
      <c r="B82" s="187" t="s">
        <v>195</v>
      </c>
      <c r="C82" s="187" t="s">
        <v>196</v>
      </c>
      <c r="D82" s="185"/>
      <c r="E82" s="215" t="s">
        <v>184</v>
      </c>
      <c r="F82" s="213" t="s">
        <v>191</v>
      </c>
      <c r="G82" s="112">
        <f t="shared" si="1"/>
        <v>26217.4</v>
      </c>
      <c r="H82" s="206">
        <v>15422</v>
      </c>
      <c r="I82" s="178"/>
      <c r="J82" s="178"/>
    </row>
    <row r="83" s="169" customFormat="1" spans="1:10">
      <c r="A83" s="182"/>
      <c r="B83" s="187" t="s">
        <v>197</v>
      </c>
      <c r="C83" s="187" t="s">
        <v>198</v>
      </c>
      <c r="D83" s="185"/>
      <c r="E83" s="215" t="s">
        <v>199</v>
      </c>
      <c r="F83" s="213" t="s">
        <v>191</v>
      </c>
      <c r="G83" s="112">
        <f t="shared" si="1"/>
        <v>11716.4</v>
      </c>
      <c r="H83" s="206">
        <v>6892</v>
      </c>
      <c r="I83" s="178"/>
      <c r="J83" s="178"/>
    </row>
    <row r="84" s="169" customFormat="1" spans="1:10">
      <c r="A84" s="182"/>
      <c r="B84" s="187" t="s">
        <v>200</v>
      </c>
      <c r="C84" s="187" t="s">
        <v>201</v>
      </c>
      <c r="D84" s="185"/>
      <c r="E84" s="215" t="s">
        <v>202</v>
      </c>
      <c r="F84" s="213" t="s">
        <v>191</v>
      </c>
      <c r="G84" s="112">
        <f t="shared" si="1"/>
        <v>2990.3</v>
      </c>
      <c r="H84" s="206">
        <v>1759</v>
      </c>
      <c r="I84" s="178"/>
      <c r="J84" s="178"/>
    </row>
    <row r="85" s="169" customFormat="1" spans="1:10">
      <c r="A85" s="182"/>
      <c r="B85" s="216" t="s">
        <v>203</v>
      </c>
      <c r="C85" s="187" t="s">
        <v>204</v>
      </c>
      <c r="D85" s="185"/>
      <c r="E85" s="21" t="s">
        <v>205</v>
      </c>
      <c r="F85" s="213" t="s">
        <v>206</v>
      </c>
      <c r="G85" s="112">
        <f t="shared" si="1"/>
        <v>11934</v>
      </c>
      <c r="H85" s="189">
        <v>7020</v>
      </c>
      <c r="I85" s="178"/>
      <c r="J85" s="178"/>
    </row>
    <row r="86" s="169" customFormat="1" spans="1:10">
      <c r="A86" s="182"/>
      <c r="B86" s="216" t="s">
        <v>207</v>
      </c>
      <c r="C86" s="187" t="s">
        <v>204</v>
      </c>
      <c r="D86" s="185"/>
      <c r="E86" s="21" t="s">
        <v>208</v>
      </c>
      <c r="F86" s="213" t="s">
        <v>209</v>
      </c>
      <c r="G86" s="112">
        <f t="shared" si="1"/>
        <v>16228.2</v>
      </c>
      <c r="H86" s="206">
        <v>9546</v>
      </c>
      <c r="I86" s="178"/>
      <c r="J86" s="178"/>
    </row>
    <row r="87" s="169" customFormat="1" spans="1:10">
      <c r="A87" s="182"/>
      <c r="B87" s="216" t="s">
        <v>210</v>
      </c>
      <c r="C87" s="187" t="s">
        <v>204</v>
      </c>
      <c r="D87" s="185"/>
      <c r="E87" s="21" t="s">
        <v>165</v>
      </c>
      <c r="F87" s="213" t="s">
        <v>211</v>
      </c>
      <c r="G87" s="112">
        <f t="shared" si="1"/>
        <v>18866.6</v>
      </c>
      <c r="H87" s="206">
        <v>11098</v>
      </c>
      <c r="I87" s="178"/>
      <c r="J87" s="178"/>
    </row>
    <row r="88" s="169" customFormat="1" spans="1:10">
      <c r="A88" s="182"/>
      <c r="B88" s="216" t="s">
        <v>210</v>
      </c>
      <c r="C88" s="187" t="s">
        <v>204</v>
      </c>
      <c r="D88" s="185"/>
      <c r="E88" s="21" t="s">
        <v>168</v>
      </c>
      <c r="F88" s="213" t="s">
        <v>212</v>
      </c>
      <c r="G88" s="112">
        <f t="shared" si="1"/>
        <v>21590</v>
      </c>
      <c r="H88" s="206">
        <v>12700</v>
      </c>
      <c r="I88" s="178"/>
      <c r="J88" s="178"/>
    </row>
    <row r="89" s="169" customFormat="1" spans="1:10">
      <c r="A89" s="182"/>
      <c r="B89" s="187" t="s">
        <v>213</v>
      </c>
      <c r="C89" s="187" t="s">
        <v>214</v>
      </c>
      <c r="D89" s="185"/>
      <c r="E89" s="21" t="s">
        <v>165</v>
      </c>
      <c r="F89" s="213" t="s">
        <v>215</v>
      </c>
      <c r="G89" s="112">
        <f t="shared" si="1"/>
        <v>25141.3</v>
      </c>
      <c r="H89" s="206">
        <v>14789</v>
      </c>
      <c r="I89" s="178"/>
      <c r="J89" s="178"/>
    </row>
    <row r="90" s="169" customFormat="1" spans="1:10">
      <c r="A90" s="182"/>
      <c r="B90" s="187" t="s">
        <v>216</v>
      </c>
      <c r="C90" s="187" t="s">
        <v>217</v>
      </c>
      <c r="D90" s="185"/>
      <c r="E90" s="21" t="s">
        <v>168</v>
      </c>
      <c r="F90" s="213" t="s">
        <v>218</v>
      </c>
      <c r="G90" s="112">
        <f t="shared" si="1"/>
        <v>27764.4</v>
      </c>
      <c r="H90" s="206">
        <v>16332</v>
      </c>
      <c r="I90" s="178"/>
      <c r="J90" s="178"/>
    </row>
    <row r="91" s="169" customFormat="1" spans="1:10">
      <c r="A91" s="182"/>
      <c r="B91" s="187" t="s">
        <v>219</v>
      </c>
      <c r="C91" s="187" t="s">
        <v>220</v>
      </c>
      <c r="D91" s="185"/>
      <c r="E91" s="215" t="s">
        <v>221</v>
      </c>
      <c r="F91" s="213" t="s">
        <v>222</v>
      </c>
      <c r="G91" s="112">
        <f t="shared" si="1"/>
        <v>24915.2</v>
      </c>
      <c r="H91" s="206">
        <v>14656</v>
      </c>
      <c r="I91" s="178"/>
      <c r="J91" s="178"/>
    </row>
    <row r="92" s="169" customFormat="1" spans="1:10">
      <c r="A92" s="182"/>
      <c r="B92" s="187" t="s">
        <v>223</v>
      </c>
      <c r="C92" s="187" t="s">
        <v>224</v>
      </c>
      <c r="D92" s="185"/>
      <c r="E92" s="215" t="s">
        <v>225</v>
      </c>
      <c r="F92" s="213" t="s">
        <v>226</v>
      </c>
      <c r="G92" s="112">
        <f t="shared" si="1"/>
        <v>18139</v>
      </c>
      <c r="H92" s="206">
        <v>10670</v>
      </c>
      <c r="I92" s="178"/>
      <c r="J92" s="178"/>
    </row>
    <row r="93" s="169" customFormat="1" spans="1:10">
      <c r="A93" s="182"/>
      <c r="B93" s="187" t="s">
        <v>227</v>
      </c>
      <c r="C93" s="187" t="s">
        <v>201</v>
      </c>
      <c r="D93" s="185"/>
      <c r="E93" s="215" t="s">
        <v>228</v>
      </c>
      <c r="F93" s="213" t="s">
        <v>229</v>
      </c>
      <c r="G93" s="112">
        <f t="shared" si="1"/>
        <v>3935.5</v>
      </c>
      <c r="H93" s="206">
        <v>2315</v>
      </c>
      <c r="I93" s="178"/>
      <c r="J93" s="178"/>
    </row>
    <row r="94" s="169" customFormat="1" spans="1:10">
      <c r="A94" s="182"/>
      <c r="B94" s="187" t="s">
        <v>230</v>
      </c>
      <c r="C94" s="187" t="s">
        <v>231</v>
      </c>
      <c r="D94" s="185"/>
      <c r="E94" s="28" t="s">
        <v>232</v>
      </c>
      <c r="F94" s="213" t="s">
        <v>233</v>
      </c>
      <c r="G94" s="112">
        <f t="shared" si="1"/>
        <v>30732.6</v>
      </c>
      <c r="H94" s="217">
        <v>18078</v>
      </c>
      <c r="I94" s="178"/>
      <c r="J94" s="178"/>
    </row>
    <row r="95" s="169" customFormat="1" spans="1:10">
      <c r="A95" s="182"/>
      <c r="B95" s="187" t="s">
        <v>234</v>
      </c>
      <c r="C95" s="187" t="s">
        <v>235</v>
      </c>
      <c r="D95" s="185"/>
      <c r="E95" s="28" t="s">
        <v>236</v>
      </c>
      <c r="F95" s="213" t="s">
        <v>233</v>
      </c>
      <c r="G95" s="112">
        <f t="shared" si="1"/>
        <v>33534.2</v>
      </c>
      <c r="H95" s="217">
        <v>19726</v>
      </c>
      <c r="I95" s="178"/>
      <c r="J95" s="178"/>
    </row>
    <row r="96" s="169" customFormat="1" spans="1:10">
      <c r="A96" s="182"/>
      <c r="B96" s="187" t="s">
        <v>237</v>
      </c>
      <c r="C96" s="187" t="s">
        <v>194</v>
      </c>
      <c r="D96" s="185"/>
      <c r="E96" s="218" t="s">
        <v>238</v>
      </c>
      <c r="F96" s="213" t="s">
        <v>233</v>
      </c>
      <c r="G96" s="112">
        <f t="shared" si="1"/>
        <v>24172.3</v>
      </c>
      <c r="H96" s="189">
        <v>14219</v>
      </c>
      <c r="I96" s="178"/>
      <c r="J96" s="178"/>
    </row>
    <row r="97" s="169" customFormat="1" spans="1:10">
      <c r="A97" s="182"/>
      <c r="B97" s="187" t="s">
        <v>239</v>
      </c>
      <c r="C97" s="187" t="s">
        <v>198</v>
      </c>
      <c r="D97" s="185"/>
      <c r="E97" s="219" t="s">
        <v>240</v>
      </c>
      <c r="F97" s="213" t="s">
        <v>233</v>
      </c>
      <c r="G97" s="112">
        <f t="shared" si="1"/>
        <v>12809.5</v>
      </c>
      <c r="H97" s="220">
        <v>7535</v>
      </c>
      <c r="I97" s="178"/>
      <c r="J97" s="178"/>
    </row>
    <row r="98" s="169" customFormat="1" spans="1:10">
      <c r="A98" s="182"/>
      <c r="B98" s="187" t="s">
        <v>241</v>
      </c>
      <c r="C98" s="187" t="s">
        <v>242</v>
      </c>
      <c r="D98" s="185"/>
      <c r="E98" s="21" t="s">
        <v>243</v>
      </c>
      <c r="F98" s="213" t="s">
        <v>233</v>
      </c>
      <c r="G98" s="112">
        <f t="shared" si="1"/>
        <v>3087.2</v>
      </c>
      <c r="H98" s="189">
        <v>1816</v>
      </c>
      <c r="I98" s="178"/>
      <c r="J98" s="178"/>
    </row>
    <row r="99" s="169" customFormat="1" spans="1:10">
      <c r="A99" s="182"/>
      <c r="B99" s="187" t="s">
        <v>244</v>
      </c>
      <c r="C99" s="187" t="s">
        <v>245</v>
      </c>
      <c r="D99" s="185"/>
      <c r="E99" s="218" t="s">
        <v>246</v>
      </c>
      <c r="F99" s="213" t="s">
        <v>247</v>
      </c>
      <c r="G99" s="112">
        <f t="shared" si="1"/>
        <v>31195</v>
      </c>
      <c r="H99" s="221">
        <v>18350</v>
      </c>
      <c r="I99" s="178"/>
      <c r="J99" s="178"/>
    </row>
    <row r="100" s="169" customFormat="1" spans="1:10">
      <c r="A100" s="182"/>
      <c r="B100" s="187" t="s">
        <v>248</v>
      </c>
      <c r="C100" s="187" t="s">
        <v>190</v>
      </c>
      <c r="D100" s="185"/>
      <c r="E100" s="218" t="s">
        <v>249</v>
      </c>
      <c r="F100" s="213" t="s">
        <v>247</v>
      </c>
      <c r="G100" s="112">
        <f t="shared" si="1"/>
        <v>34753.1</v>
      </c>
      <c r="H100" s="221">
        <v>20443</v>
      </c>
      <c r="I100" s="178"/>
      <c r="J100" s="178"/>
    </row>
    <row r="101" s="169" customFormat="1" spans="1:10">
      <c r="A101" s="182"/>
      <c r="B101" s="208" t="s">
        <v>250</v>
      </c>
      <c r="C101" s="187" t="s">
        <v>196</v>
      </c>
      <c r="D101" s="185"/>
      <c r="E101" s="218" t="s">
        <v>251</v>
      </c>
      <c r="F101" s="213" t="s">
        <v>247</v>
      </c>
      <c r="G101" s="112">
        <f t="shared" si="1"/>
        <v>18637.1</v>
      </c>
      <c r="H101" s="221">
        <v>10963</v>
      </c>
      <c r="I101" s="178"/>
      <c r="J101" s="178"/>
    </row>
    <row r="102" s="169" customFormat="1" spans="1:10">
      <c r="A102" s="182"/>
      <c r="B102" s="208" t="s">
        <v>252</v>
      </c>
      <c r="C102" s="187" t="s">
        <v>253</v>
      </c>
      <c r="D102" s="185"/>
      <c r="E102" s="218" t="s">
        <v>251</v>
      </c>
      <c r="F102" s="213" t="s">
        <v>247</v>
      </c>
      <c r="G102" s="112">
        <f t="shared" si="1"/>
        <v>20196</v>
      </c>
      <c r="H102" s="221">
        <v>11880</v>
      </c>
      <c r="I102" s="178"/>
      <c r="J102" s="178"/>
    </row>
    <row r="103" s="169" customFormat="1" spans="1:10">
      <c r="A103" s="182"/>
      <c r="B103" s="187" t="s">
        <v>254</v>
      </c>
      <c r="C103" s="187" t="s">
        <v>198</v>
      </c>
      <c r="D103" s="185"/>
      <c r="E103" s="218" t="s">
        <v>255</v>
      </c>
      <c r="F103" s="213" t="s">
        <v>247</v>
      </c>
      <c r="G103" s="112">
        <f t="shared" si="1"/>
        <v>6024.8</v>
      </c>
      <c r="H103" s="221">
        <v>3544</v>
      </c>
      <c r="I103" s="178"/>
      <c r="J103" s="178"/>
    </row>
    <row r="104" s="169" customFormat="1" spans="1:10">
      <c r="A104" s="182"/>
      <c r="B104" s="187" t="s">
        <v>256</v>
      </c>
      <c r="C104" s="187" t="s">
        <v>257</v>
      </c>
      <c r="D104" s="185"/>
      <c r="E104" s="218" t="s">
        <v>258</v>
      </c>
      <c r="F104" s="213" t="s">
        <v>247</v>
      </c>
      <c r="G104" s="112">
        <f t="shared" si="1"/>
        <v>3100.8</v>
      </c>
      <c r="H104" s="221">
        <v>1824</v>
      </c>
      <c r="I104" s="178"/>
      <c r="J104" s="178"/>
    </row>
    <row r="105" s="169" customFormat="1" spans="1:10">
      <c r="A105" s="182"/>
      <c r="B105" s="187" t="s">
        <v>259</v>
      </c>
      <c r="C105" s="187" t="s">
        <v>122</v>
      </c>
      <c r="D105" s="185"/>
      <c r="E105" s="21" t="s">
        <v>165</v>
      </c>
      <c r="F105" s="213" t="s">
        <v>260</v>
      </c>
      <c r="G105" s="112">
        <f t="shared" si="1"/>
        <v>41952.6</v>
      </c>
      <c r="H105" s="189">
        <v>24678</v>
      </c>
      <c r="I105" s="178"/>
      <c r="J105" s="178"/>
    </row>
    <row r="106" s="169" customFormat="1" spans="1:10">
      <c r="A106" s="182"/>
      <c r="B106" s="187" t="s">
        <v>261</v>
      </c>
      <c r="C106" s="187" t="s">
        <v>122</v>
      </c>
      <c r="D106" s="185"/>
      <c r="E106" s="21" t="s">
        <v>168</v>
      </c>
      <c r="F106" s="213" t="s">
        <v>260</v>
      </c>
      <c r="G106" s="112">
        <f t="shared" si="1"/>
        <v>44997.3</v>
      </c>
      <c r="H106" s="206">
        <v>26469</v>
      </c>
      <c r="I106" s="178"/>
      <c r="J106" s="178"/>
    </row>
    <row r="107" s="169" customFormat="1" spans="1:10">
      <c r="A107" s="182"/>
      <c r="B107" s="187" t="s">
        <v>262</v>
      </c>
      <c r="C107" s="187" t="s">
        <v>181</v>
      </c>
      <c r="D107" s="185"/>
      <c r="E107" s="215" t="s">
        <v>263</v>
      </c>
      <c r="F107" s="213" t="s">
        <v>260</v>
      </c>
      <c r="G107" s="112">
        <f t="shared" si="1"/>
        <v>43261.6</v>
      </c>
      <c r="H107" s="206">
        <v>25448</v>
      </c>
      <c r="I107" s="178"/>
      <c r="J107" s="178"/>
    </row>
    <row r="108" s="169" customFormat="1" spans="1:10">
      <c r="A108" s="182"/>
      <c r="B108" s="187" t="s">
        <v>264</v>
      </c>
      <c r="C108" s="187" t="s">
        <v>172</v>
      </c>
      <c r="D108" s="185"/>
      <c r="E108" s="215" t="s">
        <v>265</v>
      </c>
      <c r="F108" s="213" t="s">
        <v>260</v>
      </c>
      <c r="G108" s="112">
        <f t="shared" si="1"/>
        <v>12736.4</v>
      </c>
      <c r="H108" s="206">
        <v>7492</v>
      </c>
      <c r="I108" s="178"/>
      <c r="J108" s="178"/>
    </row>
    <row r="109" s="169" customFormat="1" spans="1:10">
      <c r="A109" s="182"/>
      <c r="B109" s="187" t="s">
        <v>266</v>
      </c>
      <c r="C109" s="187" t="s">
        <v>175</v>
      </c>
      <c r="D109" s="185"/>
      <c r="E109" s="215" t="s">
        <v>267</v>
      </c>
      <c r="F109" s="213" t="s">
        <v>260</v>
      </c>
      <c r="G109" s="112">
        <f t="shared" si="1"/>
        <v>6730.3</v>
      </c>
      <c r="H109" s="206">
        <v>3959</v>
      </c>
      <c r="I109" s="178"/>
      <c r="J109" s="178"/>
    </row>
    <row r="110" s="169" customFormat="1" spans="1:10">
      <c r="A110" s="182"/>
      <c r="B110" s="187" t="s">
        <v>268</v>
      </c>
      <c r="C110" s="187" t="s">
        <v>269</v>
      </c>
      <c r="D110" s="185"/>
      <c r="E110" s="21" t="s">
        <v>270</v>
      </c>
      <c r="F110" s="222" t="s">
        <v>271</v>
      </c>
      <c r="G110" s="112">
        <f t="shared" si="1"/>
        <v>13987.6</v>
      </c>
      <c r="H110" s="206">
        <v>8228</v>
      </c>
      <c r="I110" s="178"/>
      <c r="J110" s="178"/>
    </row>
    <row r="111" s="169" customFormat="1" spans="1:10">
      <c r="A111" s="182"/>
      <c r="B111" s="187" t="s">
        <v>272</v>
      </c>
      <c r="C111" s="187" t="s">
        <v>273</v>
      </c>
      <c r="D111" s="185"/>
      <c r="E111" s="21" t="s">
        <v>165</v>
      </c>
      <c r="F111" s="222" t="s">
        <v>274</v>
      </c>
      <c r="G111" s="112">
        <f t="shared" si="1"/>
        <v>26994.3</v>
      </c>
      <c r="H111" s="206">
        <v>15879</v>
      </c>
      <c r="I111" s="178"/>
      <c r="J111" s="178"/>
    </row>
    <row r="112" s="169" customFormat="1" spans="1:10">
      <c r="A112" s="182"/>
      <c r="B112" s="187" t="s">
        <v>275</v>
      </c>
      <c r="C112" s="187" t="s">
        <v>273</v>
      </c>
      <c r="D112" s="185"/>
      <c r="E112" s="21" t="s">
        <v>168</v>
      </c>
      <c r="F112" s="222" t="s">
        <v>274</v>
      </c>
      <c r="G112" s="112">
        <f t="shared" si="1"/>
        <v>30028.8</v>
      </c>
      <c r="H112" s="206">
        <v>17664</v>
      </c>
      <c r="I112" s="178"/>
      <c r="J112" s="178"/>
    </row>
    <row r="113" s="169" customFormat="1" spans="1:10">
      <c r="A113" s="182"/>
      <c r="B113" s="187" t="s">
        <v>276</v>
      </c>
      <c r="C113" s="187" t="s">
        <v>277</v>
      </c>
      <c r="D113" s="185"/>
      <c r="E113" s="215" t="s">
        <v>278</v>
      </c>
      <c r="F113" s="222" t="s">
        <v>274</v>
      </c>
      <c r="G113" s="112">
        <f t="shared" si="1"/>
        <v>21826.3</v>
      </c>
      <c r="H113" s="206">
        <v>12839</v>
      </c>
      <c r="I113" s="178"/>
      <c r="J113" s="178"/>
    </row>
    <row r="114" s="169" customFormat="1" spans="1:10">
      <c r="A114" s="182"/>
      <c r="B114" s="187" t="s">
        <v>279</v>
      </c>
      <c r="C114" s="187" t="s">
        <v>280</v>
      </c>
      <c r="D114" s="185"/>
      <c r="E114" s="215" t="s">
        <v>281</v>
      </c>
      <c r="F114" s="222" t="s">
        <v>274</v>
      </c>
      <c r="G114" s="112">
        <f t="shared" si="1"/>
        <v>32629.8</v>
      </c>
      <c r="H114" s="206">
        <v>19194</v>
      </c>
      <c r="I114" s="178"/>
      <c r="J114" s="178"/>
    </row>
    <row r="115" s="169" customFormat="1" spans="1:10">
      <c r="A115" s="182"/>
      <c r="B115" s="187" t="s">
        <v>282</v>
      </c>
      <c r="C115" s="187" t="s">
        <v>283</v>
      </c>
      <c r="D115" s="185"/>
      <c r="E115" s="215" t="s">
        <v>284</v>
      </c>
      <c r="F115" s="222" t="s">
        <v>274</v>
      </c>
      <c r="G115" s="112">
        <f t="shared" si="1"/>
        <v>9683.2</v>
      </c>
      <c r="H115" s="206">
        <v>5696</v>
      </c>
      <c r="I115" s="178"/>
      <c r="J115" s="178"/>
    </row>
    <row r="116" s="169" customFormat="1" spans="1:10">
      <c r="A116" s="182"/>
      <c r="B116" s="187" t="s">
        <v>285</v>
      </c>
      <c r="C116" s="187" t="s">
        <v>286</v>
      </c>
      <c r="D116" s="185"/>
      <c r="E116" s="215" t="s">
        <v>287</v>
      </c>
      <c r="F116" s="222" t="s">
        <v>274</v>
      </c>
      <c r="G116" s="112">
        <f t="shared" si="1"/>
        <v>2963.1</v>
      </c>
      <c r="H116" s="206">
        <v>1743</v>
      </c>
      <c r="I116" s="178"/>
      <c r="J116" s="178"/>
    </row>
    <row r="117" s="169" customFormat="1" spans="1:10">
      <c r="A117" s="182"/>
      <c r="B117" s="187" t="s">
        <v>288</v>
      </c>
      <c r="C117" s="187" t="s">
        <v>289</v>
      </c>
      <c r="D117" s="185"/>
      <c r="E117" s="21" t="s">
        <v>165</v>
      </c>
      <c r="F117" s="213" t="s">
        <v>290</v>
      </c>
      <c r="G117" s="112">
        <f t="shared" si="1"/>
        <v>33556.3</v>
      </c>
      <c r="H117" s="189">
        <v>19739</v>
      </c>
      <c r="I117" s="178"/>
      <c r="J117" s="178"/>
    </row>
    <row r="118" s="169" customFormat="1" spans="1:10">
      <c r="A118" s="182"/>
      <c r="B118" s="187" t="s">
        <v>291</v>
      </c>
      <c r="C118" s="187" t="s">
        <v>289</v>
      </c>
      <c r="D118" s="185"/>
      <c r="E118" s="21" t="s">
        <v>168</v>
      </c>
      <c r="F118" s="213" t="s">
        <v>290</v>
      </c>
      <c r="G118" s="112">
        <f t="shared" si="1"/>
        <v>37444.2</v>
      </c>
      <c r="H118" s="206">
        <v>22026</v>
      </c>
      <c r="I118" s="178"/>
      <c r="J118" s="178"/>
    </row>
    <row r="119" s="169" customFormat="1" spans="1:10">
      <c r="A119" s="182"/>
      <c r="B119" s="187" t="s">
        <v>292</v>
      </c>
      <c r="C119" s="187" t="s">
        <v>293</v>
      </c>
      <c r="D119" s="185"/>
      <c r="E119" s="215" t="s">
        <v>182</v>
      </c>
      <c r="F119" s="213" t="s">
        <v>290</v>
      </c>
      <c r="G119" s="112">
        <f t="shared" si="1"/>
        <v>27601.2</v>
      </c>
      <c r="H119" s="206">
        <v>16236</v>
      </c>
      <c r="I119" s="178"/>
      <c r="J119" s="178"/>
    </row>
    <row r="120" s="169" customFormat="1" spans="1:10">
      <c r="A120" s="182"/>
      <c r="B120" s="187" t="s">
        <v>294</v>
      </c>
      <c r="C120" s="187" t="s">
        <v>283</v>
      </c>
      <c r="D120" s="185"/>
      <c r="E120" s="215" t="s">
        <v>295</v>
      </c>
      <c r="F120" s="213" t="s">
        <v>290</v>
      </c>
      <c r="G120" s="112">
        <f t="shared" si="1"/>
        <v>7272.6</v>
      </c>
      <c r="H120" s="206">
        <v>4278</v>
      </c>
      <c r="I120" s="178"/>
      <c r="J120" s="178"/>
    </row>
    <row r="121" s="169" customFormat="1" spans="1:10">
      <c r="A121" s="182"/>
      <c r="B121" s="187" t="s">
        <v>296</v>
      </c>
      <c r="C121" s="187" t="s">
        <v>286</v>
      </c>
      <c r="D121" s="185"/>
      <c r="E121" s="215" t="s">
        <v>297</v>
      </c>
      <c r="F121" s="213" t="s">
        <v>290</v>
      </c>
      <c r="G121" s="112">
        <f t="shared" si="1"/>
        <v>3272.5</v>
      </c>
      <c r="H121" s="206">
        <v>1925</v>
      </c>
      <c r="I121" s="178"/>
      <c r="J121" s="178"/>
    </row>
    <row r="122" s="169" customFormat="1" spans="1:10">
      <c r="A122" s="182"/>
      <c r="B122" s="223" t="s">
        <v>298</v>
      </c>
      <c r="C122" s="224" t="s">
        <v>122</v>
      </c>
      <c r="E122" s="20" t="s">
        <v>299</v>
      </c>
      <c r="F122" s="222" t="s">
        <v>300</v>
      </c>
      <c r="G122" s="112">
        <f t="shared" si="1"/>
        <v>35128.8</v>
      </c>
      <c r="H122" s="225">
        <v>20664</v>
      </c>
      <c r="I122" s="178"/>
      <c r="J122" s="178"/>
    </row>
    <row r="123" s="169" customFormat="1" spans="1:10">
      <c r="A123" s="182"/>
      <c r="B123" s="223" t="s">
        <v>301</v>
      </c>
      <c r="C123" s="224" t="s">
        <v>122</v>
      </c>
      <c r="E123" s="20" t="s">
        <v>302</v>
      </c>
      <c r="F123" s="222" t="s">
        <v>300</v>
      </c>
      <c r="G123" s="112">
        <f t="shared" ref="G123:G154" si="2">H123*1.7</f>
        <v>38608.7</v>
      </c>
      <c r="H123" s="225">
        <v>22711</v>
      </c>
      <c r="I123" s="178"/>
      <c r="J123" s="178"/>
    </row>
    <row r="124" s="169" customFormat="1" spans="1:10">
      <c r="A124" s="182"/>
      <c r="B124" s="223" t="s">
        <v>303</v>
      </c>
      <c r="C124" s="224" t="s">
        <v>181</v>
      </c>
      <c r="E124" s="226" t="s">
        <v>304</v>
      </c>
      <c r="F124" s="222" t="s">
        <v>300</v>
      </c>
      <c r="G124" s="112">
        <f t="shared" si="2"/>
        <v>31339.5</v>
      </c>
      <c r="H124" s="225">
        <v>18435</v>
      </c>
      <c r="I124" s="178"/>
      <c r="J124" s="178"/>
    </row>
    <row r="125" s="169" customFormat="1" spans="1:10">
      <c r="A125" s="182"/>
      <c r="B125" s="223" t="s">
        <v>305</v>
      </c>
      <c r="C125" s="224" t="s">
        <v>172</v>
      </c>
      <c r="E125" s="226" t="s">
        <v>306</v>
      </c>
      <c r="F125" s="222" t="s">
        <v>300</v>
      </c>
      <c r="G125" s="112">
        <f t="shared" si="2"/>
        <v>14429.6</v>
      </c>
      <c r="H125" s="225">
        <v>8488</v>
      </c>
      <c r="I125" s="178"/>
      <c r="J125" s="178"/>
    </row>
    <row r="126" s="169" customFormat="1" spans="1:10">
      <c r="A126" s="182"/>
      <c r="B126" s="223" t="s">
        <v>307</v>
      </c>
      <c r="C126" s="224" t="s">
        <v>175</v>
      </c>
      <c r="E126" s="226" t="s">
        <v>243</v>
      </c>
      <c r="F126" s="222" t="s">
        <v>300</v>
      </c>
      <c r="G126" s="112">
        <f t="shared" si="2"/>
        <v>4569.6</v>
      </c>
      <c r="H126" s="225">
        <v>2688</v>
      </c>
      <c r="I126" s="178"/>
      <c r="J126" s="178"/>
    </row>
    <row r="127" s="169" customFormat="1" spans="1:10">
      <c r="A127" s="182"/>
      <c r="B127" s="223" t="s">
        <v>308</v>
      </c>
      <c r="C127" s="224" t="s">
        <v>122</v>
      </c>
      <c r="E127" s="20" t="s">
        <v>299</v>
      </c>
      <c r="F127" s="222" t="s">
        <v>309</v>
      </c>
      <c r="G127" s="112">
        <f t="shared" si="2"/>
        <v>42357.2</v>
      </c>
      <c r="H127" s="227">
        <v>24916</v>
      </c>
      <c r="I127" s="178"/>
      <c r="J127" s="178"/>
    </row>
    <row r="128" s="169" customFormat="1" spans="1:10">
      <c r="A128" s="182"/>
      <c r="B128" s="223" t="s">
        <v>310</v>
      </c>
      <c r="C128" s="224" t="s">
        <v>122</v>
      </c>
      <c r="E128" s="20" t="s">
        <v>302</v>
      </c>
      <c r="F128" s="222" t="s">
        <v>309</v>
      </c>
      <c r="G128" s="112">
        <f t="shared" si="2"/>
        <v>46087</v>
      </c>
      <c r="H128" s="227">
        <v>27110</v>
      </c>
      <c r="I128" s="178"/>
      <c r="J128" s="178"/>
    </row>
    <row r="129" s="169" customFormat="1" spans="1:10">
      <c r="A129" s="182"/>
      <c r="B129" s="223" t="s">
        <v>311</v>
      </c>
      <c r="C129" s="224" t="s">
        <v>181</v>
      </c>
      <c r="E129" s="226" t="s">
        <v>312</v>
      </c>
      <c r="F129" s="222" t="s">
        <v>309</v>
      </c>
      <c r="G129" s="112">
        <f t="shared" si="2"/>
        <v>38688.6</v>
      </c>
      <c r="H129" s="227">
        <v>22758</v>
      </c>
      <c r="I129" s="178"/>
      <c r="J129" s="178"/>
    </row>
    <row r="130" s="169" customFormat="1" spans="1:10">
      <c r="A130" s="182"/>
      <c r="B130" s="223" t="s">
        <v>313</v>
      </c>
      <c r="C130" s="224" t="s">
        <v>148</v>
      </c>
      <c r="E130" s="20" t="s">
        <v>314</v>
      </c>
      <c r="F130" s="222" t="s">
        <v>309</v>
      </c>
      <c r="G130" s="112">
        <f t="shared" si="2"/>
        <v>50597.1</v>
      </c>
      <c r="H130" s="227">
        <v>29763</v>
      </c>
      <c r="I130" s="178"/>
      <c r="J130" s="178"/>
    </row>
    <row r="131" s="169" customFormat="1" spans="1:10">
      <c r="A131" s="182"/>
      <c r="B131" s="223" t="s">
        <v>315</v>
      </c>
      <c r="C131" s="224" t="s">
        <v>172</v>
      </c>
      <c r="E131" s="226" t="s">
        <v>316</v>
      </c>
      <c r="F131" s="222" t="s">
        <v>309</v>
      </c>
      <c r="G131" s="112">
        <f t="shared" si="2"/>
        <v>19560.2</v>
      </c>
      <c r="H131" s="227">
        <v>11506</v>
      </c>
      <c r="I131" s="178"/>
      <c r="J131" s="178"/>
    </row>
    <row r="132" s="169" customFormat="1" spans="1:10">
      <c r="A132" s="182"/>
      <c r="B132" s="223" t="s">
        <v>317</v>
      </c>
      <c r="C132" s="224" t="s">
        <v>175</v>
      </c>
      <c r="E132" s="226" t="s">
        <v>318</v>
      </c>
      <c r="F132" s="222" t="s">
        <v>309</v>
      </c>
      <c r="G132" s="112">
        <f t="shared" si="2"/>
        <v>6335.9</v>
      </c>
      <c r="H132" s="227">
        <v>3727</v>
      </c>
      <c r="I132" s="178"/>
      <c r="J132" s="178"/>
    </row>
    <row r="133" s="169" customFormat="1" spans="1:10">
      <c r="A133" s="182"/>
      <c r="B133" s="223" t="s">
        <v>319</v>
      </c>
      <c r="C133" s="224" t="s">
        <v>122</v>
      </c>
      <c r="E133" s="20" t="s">
        <v>299</v>
      </c>
      <c r="F133" s="222" t="s">
        <v>320</v>
      </c>
      <c r="G133" s="112">
        <f t="shared" si="2"/>
        <v>45927.2</v>
      </c>
      <c r="H133" s="228">
        <v>27016</v>
      </c>
      <c r="I133" s="178"/>
      <c r="J133" s="178"/>
    </row>
    <row r="134" s="169" customFormat="1" spans="1:10">
      <c r="A134" s="182"/>
      <c r="B134" s="223" t="s">
        <v>321</v>
      </c>
      <c r="C134" s="224" t="s">
        <v>122</v>
      </c>
      <c r="E134" s="20" t="s">
        <v>302</v>
      </c>
      <c r="F134" s="222" t="s">
        <v>320</v>
      </c>
      <c r="G134" s="112">
        <f t="shared" si="2"/>
        <v>49731.8</v>
      </c>
      <c r="H134" s="229">
        <v>29254</v>
      </c>
      <c r="I134" s="178"/>
      <c r="J134" s="178"/>
    </row>
    <row r="135" s="169" customFormat="1" spans="1:10">
      <c r="A135" s="182"/>
      <c r="B135" s="223" t="s">
        <v>322</v>
      </c>
      <c r="C135" s="224" t="s">
        <v>181</v>
      </c>
      <c r="E135" s="226" t="s">
        <v>323</v>
      </c>
      <c r="F135" s="222" t="s">
        <v>320</v>
      </c>
      <c r="G135" s="112">
        <f t="shared" si="2"/>
        <v>45634.8</v>
      </c>
      <c r="H135" s="227">
        <v>26844</v>
      </c>
      <c r="I135" s="178"/>
      <c r="J135" s="178"/>
    </row>
    <row r="136" s="169" customFormat="1" spans="1:10">
      <c r="A136" s="182"/>
      <c r="B136" s="223" t="s">
        <v>324</v>
      </c>
      <c r="C136" s="224" t="s">
        <v>172</v>
      </c>
      <c r="E136" s="226" t="s">
        <v>325</v>
      </c>
      <c r="F136" s="222" t="s">
        <v>320</v>
      </c>
      <c r="G136" s="112">
        <f t="shared" si="2"/>
        <v>16792.6</v>
      </c>
      <c r="H136" s="227">
        <v>9878</v>
      </c>
      <c r="I136" s="178"/>
      <c r="J136" s="178"/>
    </row>
    <row r="137" s="169" customFormat="1" spans="1:10">
      <c r="A137" s="182"/>
      <c r="B137" s="223" t="s">
        <v>326</v>
      </c>
      <c r="C137" s="224" t="s">
        <v>175</v>
      </c>
      <c r="E137" s="226" t="s">
        <v>327</v>
      </c>
      <c r="F137" s="222" t="s">
        <v>320</v>
      </c>
      <c r="G137" s="112">
        <f t="shared" si="2"/>
        <v>4885.8</v>
      </c>
      <c r="H137" s="227">
        <v>2874</v>
      </c>
      <c r="I137" s="178"/>
      <c r="J137" s="178"/>
    </row>
    <row r="138" s="169" customFormat="1" spans="1:10">
      <c r="A138" s="182"/>
      <c r="B138" s="61" t="s">
        <v>328</v>
      </c>
      <c r="C138" s="59" t="s">
        <v>329</v>
      </c>
      <c r="E138" s="20" t="s">
        <v>330</v>
      </c>
      <c r="F138" s="133" t="s">
        <v>331</v>
      </c>
      <c r="G138" s="112">
        <f t="shared" si="2"/>
        <v>28135</v>
      </c>
      <c r="H138" s="227">
        <v>16550</v>
      </c>
      <c r="I138" s="178"/>
      <c r="J138" s="178"/>
    </row>
    <row r="139" s="169" customFormat="1" spans="1:10">
      <c r="A139" s="182"/>
      <c r="B139" s="61" t="s">
        <v>332</v>
      </c>
      <c r="C139" s="59" t="s">
        <v>329</v>
      </c>
      <c r="E139" s="20" t="s">
        <v>333</v>
      </c>
      <c r="F139" s="133" t="s">
        <v>331</v>
      </c>
      <c r="G139" s="112">
        <f t="shared" si="2"/>
        <v>31140.6</v>
      </c>
      <c r="H139" s="227">
        <v>18318</v>
      </c>
      <c r="I139" s="178"/>
      <c r="J139" s="178"/>
    </row>
    <row r="140" s="169" customFormat="1" spans="1:10">
      <c r="A140" s="182"/>
      <c r="B140" s="208" t="s">
        <v>334</v>
      </c>
      <c r="C140" s="59" t="s">
        <v>335</v>
      </c>
      <c r="E140" s="20" t="s">
        <v>299</v>
      </c>
      <c r="F140" s="230" t="s">
        <v>336</v>
      </c>
      <c r="G140" s="112">
        <f t="shared" si="2"/>
        <v>7886.3</v>
      </c>
      <c r="H140" s="227">
        <v>4639</v>
      </c>
      <c r="I140" s="178"/>
      <c r="J140" s="178"/>
    </row>
    <row r="141" s="170" customFormat="1" spans="1:10">
      <c r="A141" s="182"/>
      <c r="B141" s="231" t="s">
        <v>337</v>
      </c>
      <c r="C141" s="59" t="s">
        <v>338</v>
      </c>
      <c r="E141" s="54" t="s">
        <v>11</v>
      </c>
      <c r="F141" s="232" t="s">
        <v>336</v>
      </c>
      <c r="G141" s="112">
        <f t="shared" si="2"/>
        <v>9339.8</v>
      </c>
      <c r="H141" s="227">
        <v>5494</v>
      </c>
      <c r="I141" s="178"/>
      <c r="J141" s="178"/>
    </row>
    <row r="142" s="169" customFormat="1" spans="1:10">
      <c r="A142" s="182"/>
      <c r="B142" s="223" t="s">
        <v>339</v>
      </c>
      <c r="C142" s="224" t="s">
        <v>122</v>
      </c>
      <c r="E142" s="54" t="s">
        <v>15</v>
      </c>
      <c r="F142" s="222" t="s">
        <v>336</v>
      </c>
      <c r="G142" s="112">
        <f t="shared" si="2"/>
        <v>34510</v>
      </c>
      <c r="H142" s="233">
        <v>20300</v>
      </c>
      <c r="I142" s="178"/>
      <c r="J142" s="178"/>
    </row>
    <row r="143" s="169" customFormat="1" spans="1:10">
      <c r="A143" s="182"/>
      <c r="B143" s="223" t="s">
        <v>340</v>
      </c>
      <c r="C143" s="224" t="s">
        <v>122</v>
      </c>
      <c r="E143" s="54" t="s">
        <v>11</v>
      </c>
      <c r="F143" s="222" t="s">
        <v>336</v>
      </c>
      <c r="G143" s="112">
        <f t="shared" si="2"/>
        <v>37651.6</v>
      </c>
      <c r="H143" s="233">
        <v>22148</v>
      </c>
      <c r="I143" s="178"/>
      <c r="J143" s="178"/>
    </row>
    <row r="144" s="169" customFormat="1" spans="1:10">
      <c r="A144" s="182"/>
      <c r="B144" s="223" t="s">
        <v>341</v>
      </c>
      <c r="C144" s="224" t="s">
        <v>181</v>
      </c>
      <c r="E144" s="54" t="s">
        <v>342</v>
      </c>
      <c r="F144" s="222" t="s">
        <v>336</v>
      </c>
      <c r="G144" s="112">
        <f t="shared" si="2"/>
        <v>31249.4</v>
      </c>
      <c r="H144" s="233">
        <v>18382</v>
      </c>
      <c r="I144" s="178"/>
      <c r="J144" s="178"/>
    </row>
    <row r="145" s="169" customFormat="1" spans="1:10">
      <c r="A145" s="182"/>
      <c r="B145" s="223" t="s">
        <v>343</v>
      </c>
      <c r="C145" s="224" t="s">
        <v>172</v>
      </c>
      <c r="E145" s="54" t="s">
        <v>344</v>
      </c>
      <c r="F145" s="222" t="s">
        <v>336</v>
      </c>
      <c r="G145" s="112">
        <f t="shared" si="2"/>
        <v>16804.5</v>
      </c>
      <c r="H145" s="233">
        <v>9885</v>
      </c>
      <c r="I145" s="178"/>
      <c r="J145" s="178"/>
    </row>
    <row r="146" s="169" customFormat="1" spans="1:10">
      <c r="A146" s="182"/>
      <c r="B146" s="223" t="s">
        <v>345</v>
      </c>
      <c r="C146" s="224" t="s">
        <v>175</v>
      </c>
      <c r="E146" s="54" t="s">
        <v>346</v>
      </c>
      <c r="F146" s="222" t="s">
        <v>336</v>
      </c>
      <c r="G146" s="112">
        <f t="shared" si="2"/>
        <v>4355.4</v>
      </c>
      <c r="H146" s="233">
        <v>2562</v>
      </c>
      <c r="I146" s="178"/>
      <c r="J146" s="178"/>
    </row>
    <row r="147" s="169" customFormat="1" spans="1:10">
      <c r="A147" s="182"/>
      <c r="B147" s="223" t="s">
        <v>347</v>
      </c>
      <c r="C147" s="224" t="s">
        <v>122</v>
      </c>
      <c r="E147" s="20" t="s">
        <v>15</v>
      </c>
      <c r="F147" s="213" t="s">
        <v>348</v>
      </c>
      <c r="G147" s="112">
        <f t="shared" si="2"/>
        <v>34571.2</v>
      </c>
      <c r="H147" s="228">
        <v>20336</v>
      </c>
      <c r="I147" s="178"/>
      <c r="J147" s="178"/>
    </row>
    <row r="148" s="169" customFormat="1" spans="1:10">
      <c r="A148" s="182"/>
      <c r="B148" s="223" t="s">
        <v>349</v>
      </c>
      <c r="C148" s="224" t="s">
        <v>122</v>
      </c>
      <c r="E148" s="20" t="s">
        <v>11</v>
      </c>
      <c r="F148" s="213" t="s">
        <v>348</v>
      </c>
      <c r="G148" s="112">
        <f t="shared" si="2"/>
        <v>38275.5</v>
      </c>
      <c r="H148" s="229">
        <v>22515</v>
      </c>
      <c r="I148" s="178"/>
      <c r="J148" s="178"/>
    </row>
    <row r="149" s="169" customFormat="1" spans="1:10">
      <c r="A149" s="182"/>
      <c r="B149" s="208" t="s">
        <v>350</v>
      </c>
      <c r="C149" s="224" t="s">
        <v>351</v>
      </c>
      <c r="E149" s="226" t="s">
        <v>263</v>
      </c>
      <c r="F149" s="213" t="s">
        <v>348</v>
      </c>
      <c r="G149" s="112">
        <f t="shared" si="2"/>
        <v>34045.9</v>
      </c>
      <c r="H149" s="229">
        <v>20027</v>
      </c>
      <c r="I149" s="178"/>
      <c r="J149" s="178"/>
    </row>
    <row r="150" s="169" customFormat="1" spans="1:10">
      <c r="A150" s="182"/>
      <c r="B150" s="223" t="s">
        <v>352</v>
      </c>
      <c r="C150" s="224" t="s">
        <v>172</v>
      </c>
      <c r="E150" s="226" t="s">
        <v>353</v>
      </c>
      <c r="F150" s="213" t="s">
        <v>348</v>
      </c>
      <c r="G150" s="112">
        <f t="shared" si="2"/>
        <v>12891.1</v>
      </c>
      <c r="H150" s="229">
        <v>7583</v>
      </c>
      <c r="I150" s="178"/>
      <c r="J150" s="178"/>
    </row>
    <row r="151" s="169" customFormat="1" spans="1:10">
      <c r="A151" s="182"/>
      <c r="B151" s="223" t="s">
        <v>354</v>
      </c>
      <c r="C151" s="224" t="s">
        <v>175</v>
      </c>
      <c r="E151" s="226" t="s">
        <v>355</v>
      </c>
      <c r="F151" s="213" t="s">
        <v>348</v>
      </c>
      <c r="G151" s="112">
        <f t="shared" si="2"/>
        <v>5179.9</v>
      </c>
      <c r="H151" s="229">
        <v>3047</v>
      </c>
      <c r="I151" s="178"/>
      <c r="J151" s="178"/>
    </row>
    <row r="152" s="169" customFormat="1" spans="1:10">
      <c r="A152" s="182"/>
      <c r="B152" s="223" t="s">
        <v>356</v>
      </c>
      <c r="C152" s="224" t="s">
        <v>122</v>
      </c>
      <c r="E152" s="20" t="s">
        <v>15</v>
      </c>
      <c r="F152" s="213" t="s">
        <v>357</v>
      </c>
      <c r="G152" s="112">
        <f t="shared" si="2"/>
        <v>41952.6</v>
      </c>
      <c r="H152" s="228">
        <v>24678</v>
      </c>
      <c r="I152" s="178"/>
      <c r="J152" s="178"/>
    </row>
    <row r="153" s="169" customFormat="1" spans="1:10">
      <c r="A153" s="182"/>
      <c r="B153" s="223" t="s">
        <v>358</v>
      </c>
      <c r="C153" s="224" t="s">
        <v>122</v>
      </c>
      <c r="E153" s="20" t="s">
        <v>11</v>
      </c>
      <c r="F153" s="213" t="s">
        <v>357</v>
      </c>
      <c r="G153" s="112">
        <f t="shared" si="2"/>
        <v>44997.3</v>
      </c>
      <c r="H153" s="229">
        <v>26469</v>
      </c>
      <c r="I153" s="178"/>
      <c r="J153" s="178"/>
    </row>
    <row r="154" s="169" customFormat="1" spans="1:10">
      <c r="A154" s="182"/>
      <c r="B154" s="223" t="s">
        <v>359</v>
      </c>
      <c r="C154" s="224" t="s">
        <v>181</v>
      </c>
      <c r="E154" s="226" t="s">
        <v>360</v>
      </c>
      <c r="F154" s="213" t="s">
        <v>357</v>
      </c>
      <c r="G154" s="112">
        <f t="shared" si="2"/>
        <v>43261.6</v>
      </c>
      <c r="H154" s="229">
        <v>25448</v>
      </c>
      <c r="I154" s="178"/>
      <c r="J154" s="178"/>
    </row>
    <row r="155" s="169" customFormat="1" spans="1:10">
      <c r="A155" s="182"/>
      <c r="B155" s="223" t="s">
        <v>361</v>
      </c>
      <c r="C155" s="224" t="s">
        <v>172</v>
      </c>
      <c r="E155" s="226" t="s">
        <v>362</v>
      </c>
      <c r="F155" s="213" t="s">
        <v>357</v>
      </c>
      <c r="G155" s="112">
        <f t="shared" ref="G155:G198" si="3">H155*1.7</f>
        <v>12736.4</v>
      </c>
      <c r="H155" s="229">
        <v>7492</v>
      </c>
      <c r="I155" s="178"/>
      <c r="J155" s="178"/>
    </row>
    <row r="156" s="169" customFormat="1" spans="1:10">
      <c r="A156" s="182"/>
      <c r="B156" s="223" t="s">
        <v>363</v>
      </c>
      <c r="C156" s="224" t="s">
        <v>175</v>
      </c>
      <c r="E156" s="226" t="s">
        <v>364</v>
      </c>
      <c r="F156" s="213" t="s">
        <v>357</v>
      </c>
      <c r="G156" s="112">
        <f t="shared" si="3"/>
        <v>6730.3</v>
      </c>
      <c r="H156" s="229">
        <v>3959</v>
      </c>
      <c r="I156" s="178"/>
      <c r="J156" s="178"/>
    </row>
    <row r="157" s="169" customFormat="1" spans="1:10">
      <c r="A157" s="182"/>
      <c r="B157" s="223" t="s">
        <v>365</v>
      </c>
      <c r="C157" s="224" t="s">
        <v>122</v>
      </c>
      <c r="E157" s="226" t="s">
        <v>15</v>
      </c>
      <c r="F157" s="213" t="s">
        <v>366</v>
      </c>
      <c r="G157" s="112">
        <f t="shared" si="3"/>
        <v>33439</v>
      </c>
      <c r="H157" s="234">
        <v>19670</v>
      </c>
      <c r="I157" s="178"/>
      <c r="J157" s="178"/>
    </row>
    <row r="158" s="169" customFormat="1" spans="1:10">
      <c r="A158" s="182"/>
      <c r="B158" s="223" t="s">
        <v>367</v>
      </c>
      <c r="C158" s="224" t="s">
        <v>122</v>
      </c>
      <c r="E158" s="226" t="s">
        <v>11</v>
      </c>
      <c r="F158" s="213" t="s">
        <v>366</v>
      </c>
      <c r="G158" s="112">
        <f t="shared" si="3"/>
        <v>36745.5</v>
      </c>
      <c r="H158" s="234">
        <v>21615</v>
      </c>
      <c r="I158" s="178"/>
      <c r="J158" s="178"/>
    </row>
    <row r="159" s="169" customFormat="1" spans="1:10">
      <c r="A159" s="182"/>
      <c r="B159" s="208" t="s">
        <v>368</v>
      </c>
      <c r="C159" s="224" t="s">
        <v>351</v>
      </c>
      <c r="E159" s="226" t="s">
        <v>369</v>
      </c>
      <c r="F159" s="213" t="s">
        <v>366</v>
      </c>
      <c r="G159" s="112">
        <f t="shared" si="3"/>
        <v>32857.6</v>
      </c>
      <c r="H159" s="234">
        <v>19328</v>
      </c>
      <c r="I159" s="178"/>
      <c r="J159" s="178"/>
    </row>
    <row r="160" s="169" customFormat="1" spans="1:10">
      <c r="A160" s="182"/>
      <c r="B160" s="223" t="s">
        <v>370</v>
      </c>
      <c r="C160" s="224" t="s">
        <v>172</v>
      </c>
      <c r="E160" s="226" t="s">
        <v>371</v>
      </c>
      <c r="F160" s="213" t="s">
        <v>366</v>
      </c>
      <c r="G160" s="112">
        <f t="shared" si="3"/>
        <v>11148.6</v>
      </c>
      <c r="H160" s="234">
        <v>6558</v>
      </c>
      <c r="I160" s="178"/>
      <c r="J160" s="178"/>
    </row>
    <row r="161" s="169" customFormat="1" spans="1:10">
      <c r="A161" s="182"/>
      <c r="B161" s="223" t="s">
        <v>372</v>
      </c>
      <c r="C161" s="224" t="s">
        <v>175</v>
      </c>
      <c r="E161" s="226" t="s">
        <v>327</v>
      </c>
      <c r="F161" s="213" t="s">
        <v>366</v>
      </c>
      <c r="G161" s="112">
        <f t="shared" si="3"/>
        <v>4136.1</v>
      </c>
      <c r="H161" s="234">
        <v>2433</v>
      </c>
      <c r="I161" s="178"/>
      <c r="J161" s="178"/>
    </row>
    <row r="162" s="169" customFormat="1" spans="1:10">
      <c r="A162" s="182"/>
      <c r="B162" s="82" t="s">
        <v>373</v>
      </c>
      <c r="C162" s="235" t="s">
        <v>122</v>
      </c>
      <c r="E162" s="236" t="s">
        <v>15</v>
      </c>
      <c r="F162" s="237" t="s">
        <v>374</v>
      </c>
      <c r="G162" s="112">
        <f t="shared" si="3"/>
        <v>35064.2</v>
      </c>
      <c r="H162" s="238">
        <v>20626</v>
      </c>
      <c r="I162" s="178"/>
      <c r="J162" s="178"/>
    </row>
    <row r="163" s="169" customFormat="1" spans="1:10">
      <c r="A163" s="182"/>
      <c r="B163" s="82" t="s">
        <v>375</v>
      </c>
      <c r="C163" s="235" t="s">
        <v>122</v>
      </c>
      <c r="E163" s="236" t="s">
        <v>11</v>
      </c>
      <c r="F163" s="237" t="s">
        <v>374</v>
      </c>
      <c r="G163" s="112">
        <f t="shared" si="3"/>
        <v>38316.3</v>
      </c>
      <c r="H163" s="239">
        <v>22539</v>
      </c>
      <c r="I163" s="178"/>
      <c r="J163" s="178"/>
    </row>
    <row r="164" s="169" customFormat="1" spans="1:10">
      <c r="A164" s="182"/>
      <c r="B164" s="82" t="s">
        <v>376</v>
      </c>
      <c r="C164" s="235" t="s">
        <v>135</v>
      </c>
      <c r="E164" s="236" t="s">
        <v>377</v>
      </c>
      <c r="F164" s="237" t="s">
        <v>374</v>
      </c>
      <c r="G164" s="112">
        <f t="shared" si="3"/>
        <v>15623</v>
      </c>
      <c r="H164" s="238">
        <v>9190</v>
      </c>
      <c r="I164" s="178"/>
      <c r="J164" s="178"/>
    </row>
    <row r="165" s="169" customFormat="1" spans="1:10">
      <c r="A165" s="182"/>
      <c r="B165" s="82" t="s">
        <v>378</v>
      </c>
      <c r="C165" s="235" t="s">
        <v>138</v>
      </c>
      <c r="E165" s="20" t="s">
        <v>379</v>
      </c>
      <c r="F165" s="237" t="s">
        <v>374</v>
      </c>
      <c r="G165" s="112">
        <f t="shared" si="3"/>
        <v>7175.7</v>
      </c>
      <c r="H165" s="238">
        <v>4221</v>
      </c>
      <c r="I165" s="178"/>
      <c r="J165" s="178"/>
    </row>
    <row r="166" s="169" customFormat="1" spans="1:10">
      <c r="A166" s="182"/>
      <c r="B166" s="193" t="s">
        <v>380</v>
      </c>
      <c r="C166" s="133" t="s">
        <v>381</v>
      </c>
      <c r="E166" s="240" t="s">
        <v>382</v>
      </c>
      <c r="F166" s="237" t="s">
        <v>383</v>
      </c>
      <c r="G166" s="112">
        <f t="shared" si="3"/>
        <v>26227.6</v>
      </c>
      <c r="H166" s="239">
        <v>15428</v>
      </c>
      <c r="I166" s="178"/>
      <c r="J166" s="178"/>
    </row>
    <row r="167" s="169" customFormat="1" spans="1:10">
      <c r="A167" s="182"/>
      <c r="B167" s="193" t="s">
        <v>384</v>
      </c>
      <c r="C167" s="133" t="s">
        <v>381</v>
      </c>
      <c r="E167" s="240" t="s">
        <v>385</v>
      </c>
      <c r="F167" s="237" t="s">
        <v>383</v>
      </c>
      <c r="G167" s="112">
        <f t="shared" si="3"/>
        <v>29529</v>
      </c>
      <c r="H167" s="239">
        <v>17370</v>
      </c>
      <c r="I167" s="178"/>
      <c r="J167" s="178"/>
    </row>
    <row r="168" s="169" customFormat="1" spans="1:10">
      <c r="A168" s="182"/>
      <c r="B168" s="193" t="s">
        <v>386</v>
      </c>
      <c r="C168" s="133" t="s">
        <v>293</v>
      </c>
      <c r="E168" s="240" t="s">
        <v>387</v>
      </c>
      <c r="F168" s="237" t="s">
        <v>383</v>
      </c>
      <c r="G168" s="112">
        <f t="shared" si="3"/>
        <v>23385.2</v>
      </c>
      <c r="H168" s="239">
        <v>13756</v>
      </c>
      <c r="I168" s="178"/>
      <c r="J168" s="178"/>
    </row>
    <row r="169" s="169" customFormat="1" spans="1:10">
      <c r="A169" s="182"/>
      <c r="B169" s="193" t="s">
        <v>388</v>
      </c>
      <c r="C169" s="133" t="s">
        <v>283</v>
      </c>
      <c r="E169" s="240" t="s">
        <v>389</v>
      </c>
      <c r="F169" s="237" t="s">
        <v>383</v>
      </c>
      <c r="G169" s="112">
        <f t="shared" si="3"/>
        <v>10092.9</v>
      </c>
      <c r="H169" s="239">
        <v>5937</v>
      </c>
      <c r="I169" s="178"/>
      <c r="J169" s="178"/>
    </row>
    <row r="170" s="169" customFormat="1" spans="1:10">
      <c r="A170" s="182"/>
      <c r="B170" s="193" t="s">
        <v>390</v>
      </c>
      <c r="C170" s="133" t="s">
        <v>286</v>
      </c>
      <c r="E170" s="240" t="s">
        <v>391</v>
      </c>
      <c r="F170" s="237" t="s">
        <v>383</v>
      </c>
      <c r="G170" s="112">
        <f t="shared" si="3"/>
        <v>4709</v>
      </c>
      <c r="H170" s="239">
        <v>2770</v>
      </c>
      <c r="I170" s="178"/>
      <c r="J170" s="178"/>
    </row>
    <row r="171" s="169" customFormat="1" spans="1:10">
      <c r="A171" s="182"/>
      <c r="B171" s="183" t="s">
        <v>392</v>
      </c>
      <c r="C171" s="241" t="s">
        <v>122</v>
      </c>
      <c r="E171" s="29" t="s">
        <v>125</v>
      </c>
      <c r="F171" s="237" t="s">
        <v>393</v>
      </c>
      <c r="G171" s="112">
        <f t="shared" si="3"/>
        <v>37066.8</v>
      </c>
      <c r="H171" s="228">
        <v>21804</v>
      </c>
      <c r="I171" s="178"/>
      <c r="J171" s="178"/>
    </row>
    <row r="172" s="169" customFormat="1" spans="1:10">
      <c r="A172" s="182"/>
      <c r="B172" s="183" t="s">
        <v>394</v>
      </c>
      <c r="C172" s="241" t="s">
        <v>122</v>
      </c>
      <c r="E172" s="29" t="s">
        <v>146</v>
      </c>
      <c r="F172" s="237" t="s">
        <v>393</v>
      </c>
      <c r="G172" s="112">
        <f t="shared" si="3"/>
        <v>39888.8</v>
      </c>
      <c r="H172" s="228">
        <v>23464</v>
      </c>
      <c r="I172" s="178"/>
      <c r="J172" s="178"/>
    </row>
    <row r="173" s="169" customFormat="1" spans="1:10">
      <c r="A173" s="182"/>
      <c r="B173" s="183" t="s">
        <v>395</v>
      </c>
      <c r="C173" s="241" t="s">
        <v>172</v>
      </c>
      <c r="E173" s="29" t="s">
        <v>396</v>
      </c>
      <c r="F173" s="237" t="s">
        <v>393</v>
      </c>
      <c r="G173" s="112">
        <f t="shared" si="3"/>
        <v>13821</v>
      </c>
      <c r="H173" s="228">
        <v>8130</v>
      </c>
      <c r="I173" s="178"/>
      <c r="J173" s="178"/>
    </row>
    <row r="174" s="169" customFormat="1" spans="1:10">
      <c r="A174" s="182"/>
      <c r="B174" s="183" t="s">
        <v>397</v>
      </c>
      <c r="C174" s="241" t="s">
        <v>175</v>
      </c>
      <c r="E174" s="29" t="s">
        <v>398</v>
      </c>
      <c r="F174" s="237" t="s">
        <v>393</v>
      </c>
      <c r="G174" s="112">
        <f t="shared" si="3"/>
        <v>3690.7</v>
      </c>
      <c r="H174" s="228">
        <v>2171</v>
      </c>
      <c r="I174" s="178"/>
      <c r="J174" s="178"/>
    </row>
    <row r="175" s="169" customFormat="1" spans="1:10">
      <c r="A175" s="182"/>
      <c r="B175" s="183" t="s">
        <v>399</v>
      </c>
      <c r="C175" s="242" t="s">
        <v>273</v>
      </c>
      <c r="E175" s="20" t="s">
        <v>125</v>
      </c>
      <c r="F175" s="209" t="s">
        <v>206</v>
      </c>
      <c r="G175" s="112">
        <f t="shared" si="3"/>
        <v>23944.5</v>
      </c>
      <c r="H175" s="243">
        <v>14085</v>
      </c>
      <c r="I175" s="178"/>
      <c r="J175" s="178"/>
    </row>
    <row r="176" s="169" customFormat="1" spans="1:10">
      <c r="A176" s="182"/>
      <c r="B176" s="183" t="s">
        <v>400</v>
      </c>
      <c r="C176" s="242" t="s">
        <v>273</v>
      </c>
      <c r="E176" s="20" t="s">
        <v>146</v>
      </c>
      <c r="F176" s="209" t="s">
        <v>206</v>
      </c>
      <c r="G176" s="112">
        <f t="shared" si="3"/>
        <v>25545.9</v>
      </c>
      <c r="H176" s="228">
        <v>15027</v>
      </c>
      <c r="I176" s="178"/>
      <c r="J176" s="178"/>
    </row>
    <row r="177" s="169" customFormat="1" spans="1:10">
      <c r="A177" s="182"/>
      <c r="B177" s="183" t="s">
        <v>401</v>
      </c>
      <c r="C177" s="242" t="s">
        <v>402</v>
      </c>
      <c r="E177" s="20" t="s">
        <v>403</v>
      </c>
      <c r="F177" s="209" t="s">
        <v>206</v>
      </c>
      <c r="G177" s="112">
        <f t="shared" si="3"/>
        <v>14987.2</v>
      </c>
      <c r="H177" s="228">
        <v>8816</v>
      </c>
      <c r="I177" s="178"/>
      <c r="J177" s="178"/>
    </row>
    <row r="178" s="169" customFormat="1" spans="1:10">
      <c r="A178" s="182"/>
      <c r="B178" s="183" t="s">
        <v>404</v>
      </c>
      <c r="C178" s="242" t="s">
        <v>283</v>
      </c>
      <c r="E178" s="20" t="s">
        <v>405</v>
      </c>
      <c r="F178" s="209" t="s">
        <v>206</v>
      </c>
      <c r="G178" s="112">
        <f t="shared" si="3"/>
        <v>10145.6</v>
      </c>
      <c r="H178" s="228">
        <v>5968</v>
      </c>
      <c r="I178" s="178"/>
      <c r="J178" s="178"/>
    </row>
    <row r="179" s="169" customFormat="1" spans="1:10">
      <c r="A179" s="182"/>
      <c r="B179" s="183" t="s">
        <v>406</v>
      </c>
      <c r="C179" s="242" t="s">
        <v>286</v>
      </c>
      <c r="E179" s="20" t="s">
        <v>407</v>
      </c>
      <c r="F179" s="209" t="s">
        <v>206</v>
      </c>
      <c r="G179" s="112">
        <f t="shared" si="3"/>
        <v>3468</v>
      </c>
      <c r="H179" s="228">
        <v>2040</v>
      </c>
      <c r="I179" s="178"/>
      <c r="J179" s="178"/>
    </row>
    <row r="180" s="169" customFormat="1" spans="1:10">
      <c r="A180" s="182"/>
      <c r="B180" s="183" t="s">
        <v>408</v>
      </c>
      <c r="C180" s="242" t="s">
        <v>289</v>
      </c>
      <c r="E180" s="20" t="s">
        <v>15</v>
      </c>
      <c r="F180" s="209" t="s">
        <v>206</v>
      </c>
      <c r="G180" s="112">
        <f t="shared" si="3"/>
        <v>29727.9</v>
      </c>
      <c r="H180" s="228">
        <v>17487</v>
      </c>
      <c r="I180" s="178"/>
      <c r="J180" s="178"/>
    </row>
    <row r="181" s="169" customFormat="1" spans="1:10">
      <c r="A181" s="182"/>
      <c r="B181" s="183" t="s">
        <v>409</v>
      </c>
      <c r="C181" s="242" t="s">
        <v>289</v>
      </c>
      <c r="E181" s="20" t="s">
        <v>11</v>
      </c>
      <c r="F181" s="209" t="s">
        <v>206</v>
      </c>
      <c r="G181" s="112">
        <f t="shared" si="3"/>
        <v>32772.6</v>
      </c>
      <c r="H181" s="228">
        <v>19278</v>
      </c>
      <c r="I181" s="178"/>
      <c r="J181" s="178"/>
    </row>
    <row r="182" s="169" customFormat="1" spans="1:10">
      <c r="A182" s="182"/>
      <c r="B182" s="183" t="s">
        <v>410</v>
      </c>
      <c r="C182" s="242" t="s">
        <v>293</v>
      </c>
      <c r="E182" s="20" t="s">
        <v>411</v>
      </c>
      <c r="F182" s="209" t="s">
        <v>206</v>
      </c>
      <c r="G182" s="112">
        <f t="shared" si="3"/>
        <v>22776.6</v>
      </c>
      <c r="H182" s="228">
        <v>13398</v>
      </c>
      <c r="I182" s="178"/>
      <c r="J182" s="178"/>
    </row>
    <row r="183" s="169" customFormat="1" spans="1:10">
      <c r="A183" s="182"/>
      <c r="B183" s="61" t="s">
        <v>412</v>
      </c>
      <c r="C183" s="59" t="s">
        <v>413</v>
      </c>
      <c r="E183" s="20" t="s">
        <v>330</v>
      </c>
      <c r="F183" s="133" t="s">
        <v>414</v>
      </c>
      <c r="G183" s="112">
        <f t="shared" si="3"/>
        <v>26208.9</v>
      </c>
      <c r="H183" s="228">
        <v>15417</v>
      </c>
      <c r="I183" s="178"/>
      <c r="J183" s="178"/>
    </row>
    <row r="184" s="169" customFormat="1" spans="1:10">
      <c r="A184" s="182"/>
      <c r="B184" s="61" t="s">
        <v>415</v>
      </c>
      <c r="C184" s="59" t="s">
        <v>413</v>
      </c>
      <c r="E184" s="20" t="s">
        <v>333</v>
      </c>
      <c r="F184" s="133" t="s">
        <v>414</v>
      </c>
      <c r="G184" s="112">
        <f t="shared" si="3"/>
        <v>27541.7</v>
      </c>
      <c r="H184" s="228">
        <v>16201</v>
      </c>
      <c r="I184" s="178"/>
      <c r="J184" s="178"/>
    </row>
    <row r="185" s="169" customFormat="1" spans="1:10">
      <c r="A185" s="182"/>
      <c r="B185" s="244" t="s">
        <v>416</v>
      </c>
      <c r="C185" s="59" t="s">
        <v>335</v>
      </c>
      <c r="E185" s="245" t="s">
        <v>246</v>
      </c>
      <c r="F185" s="133" t="s">
        <v>414</v>
      </c>
      <c r="G185" s="112">
        <f t="shared" si="3"/>
        <v>7886.3</v>
      </c>
      <c r="H185" s="228">
        <v>4639</v>
      </c>
      <c r="I185" s="178"/>
      <c r="J185" s="178"/>
    </row>
    <row r="186" s="170" customFormat="1" spans="1:10">
      <c r="A186" s="182"/>
      <c r="B186" s="246" t="s">
        <v>417</v>
      </c>
      <c r="C186" s="59" t="s">
        <v>338</v>
      </c>
      <c r="E186" s="20" t="s">
        <v>11</v>
      </c>
      <c r="F186" s="230" t="s">
        <v>414</v>
      </c>
      <c r="G186" s="112">
        <f t="shared" si="3"/>
        <v>9339.8</v>
      </c>
      <c r="H186" s="228">
        <v>5494</v>
      </c>
      <c r="I186" s="178"/>
      <c r="J186" s="178"/>
    </row>
    <row r="187" s="169" customFormat="1" spans="1:10">
      <c r="A187" s="182"/>
      <c r="B187" s="61" t="s">
        <v>418</v>
      </c>
      <c r="C187" s="59" t="s">
        <v>419</v>
      </c>
      <c r="E187" s="20" t="s">
        <v>420</v>
      </c>
      <c r="F187" s="133" t="s">
        <v>421</v>
      </c>
      <c r="G187" s="112">
        <f t="shared" si="3"/>
        <v>13243</v>
      </c>
      <c r="H187" s="228">
        <v>7790</v>
      </c>
      <c r="I187" s="178"/>
      <c r="J187" s="178"/>
    </row>
    <row r="188" s="169" customFormat="1" spans="1:10">
      <c r="A188" s="182"/>
      <c r="B188" s="61" t="s">
        <v>422</v>
      </c>
      <c r="C188" s="59" t="s">
        <v>419</v>
      </c>
      <c r="E188" s="20" t="s">
        <v>423</v>
      </c>
      <c r="F188" s="133" t="s">
        <v>421</v>
      </c>
      <c r="G188" s="112">
        <f t="shared" si="3"/>
        <v>15611.1</v>
      </c>
      <c r="H188" s="228">
        <v>9183</v>
      </c>
      <c r="I188" s="178"/>
      <c r="J188" s="178"/>
    </row>
    <row r="189" s="169" customFormat="1" spans="1:10">
      <c r="A189" s="182"/>
      <c r="B189" s="61" t="s">
        <v>424</v>
      </c>
      <c r="C189" s="59" t="s">
        <v>419</v>
      </c>
      <c r="E189" s="20" t="s">
        <v>425</v>
      </c>
      <c r="F189" s="133" t="s">
        <v>421</v>
      </c>
      <c r="G189" s="112">
        <f t="shared" si="3"/>
        <v>21542.4</v>
      </c>
      <c r="H189" s="228">
        <v>12672</v>
      </c>
      <c r="I189" s="178"/>
      <c r="J189" s="178"/>
    </row>
    <row r="190" s="169" customFormat="1" spans="1:10">
      <c r="A190" s="182"/>
      <c r="B190" s="61" t="s">
        <v>426</v>
      </c>
      <c r="C190" s="61" t="s">
        <v>427</v>
      </c>
      <c r="D190" s="185"/>
      <c r="E190" s="21" t="s">
        <v>125</v>
      </c>
      <c r="F190" s="209" t="s">
        <v>428</v>
      </c>
      <c r="G190" s="112">
        <f t="shared" si="3"/>
        <v>47216.9333333334</v>
      </c>
      <c r="H190" s="247">
        <v>27774.6666666667</v>
      </c>
      <c r="I190" s="178"/>
      <c r="J190" s="178"/>
    </row>
    <row r="191" s="169" customFormat="1" spans="1:10">
      <c r="A191" s="182"/>
      <c r="B191" s="61" t="s">
        <v>429</v>
      </c>
      <c r="C191" s="61" t="s">
        <v>430</v>
      </c>
      <c r="D191" s="185"/>
      <c r="E191" s="21" t="s">
        <v>146</v>
      </c>
      <c r="F191" s="209" t="s">
        <v>428</v>
      </c>
      <c r="G191" s="112">
        <f t="shared" si="3"/>
        <v>53110.2666666666</v>
      </c>
      <c r="H191" s="247">
        <v>31241.3333333333</v>
      </c>
      <c r="I191" s="178"/>
      <c r="J191" s="178"/>
    </row>
    <row r="192" s="169" customFormat="1" spans="1:10">
      <c r="A192" s="182"/>
      <c r="B192" s="61" t="s">
        <v>431</v>
      </c>
      <c r="C192" s="61" t="s">
        <v>351</v>
      </c>
      <c r="D192" s="185"/>
      <c r="E192" s="21" t="s">
        <v>432</v>
      </c>
      <c r="F192" s="209" t="s">
        <v>428</v>
      </c>
      <c r="G192" s="112">
        <f t="shared" si="3"/>
        <v>40201.6</v>
      </c>
      <c r="H192" s="247">
        <v>23648</v>
      </c>
      <c r="I192" s="178"/>
      <c r="J192" s="178"/>
    </row>
    <row r="193" s="169" customFormat="1" spans="1:10">
      <c r="A193" s="182"/>
      <c r="B193" s="61" t="s">
        <v>433</v>
      </c>
      <c r="C193" s="61" t="s">
        <v>434</v>
      </c>
      <c r="D193" s="185"/>
      <c r="E193" s="21" t="s">
        <v>435</v>
      </c>
      <c r="F193" s="209" t="s">
        <v>428</v>
      </c>
      <c r="G193" s="112">
        <f t="shared" si="3"/>
        <v>29029.2</v>
      </c>
      <c r="H193" s="247">
        <v>17076</v>
      </c>
      <c r="I193" s="178"/>
      <c r="J193" s="178"/>
    </row>
    <row r="194" s="169" customFormat="1" spans="1:10">
      <c r="A194" s="182"/>
      <c r="B194" s="61" t="s">
        <v>436</v>
      </c>
      <c r="C194" s="61" t="s">
        <v>135</v>
      </c>
      <c r="D194" s="185"/>
      <c r="E194" s="204" t="s">
        <v>437</v>
      </c>
      <c r="F194" s="209" t="s">
        <v>428</v>
      </c>
      <c r="G194" s="112">
        <f t="shared" si="3"/>
        <v>19758.5333333334</v>
      </c>
      <c r="H194" s="247">
        <v>11622.6666666667</v>
      </c>
      <c r="I194" s="178"/>
      <c r="J194" s="178"/>
    </row>
    <row r="195" s="169" customFormat="1" spans="1:10">
      <c r="A195" s="182"/>
      <c r="B195" s="61" t="s">
        <v>438</v>
      </c>
      <c r="C195" s="61" t="s">
        <v>138</v>
      </c>
      <c r="D195" s="185"/>
      <c r="E195" s="204" t="s">
        <v>439</v>
      </c>
      <c r="F195" s="209" t="s">
        <v>428</v>
      </c>
      <c r="G195" s="112">
        <f t="shared" si="3"/>
        <v>5378.8</v>
      </c>
      <c r="H195" s="247">
        <v>3164</v>
      </c>
      <c r="I195" s="178"/>
      <c r="J195" s="178"/>
    </row>
    <row r="196" s="169" customFormat="1" spans="1:10">
      <c r="A196" s="182"/>
      <c r="B196" s="61" t="s">
        <v>440</v>
      </c>
      <c r="C196" s="61" t="s">
        <v>441</v>
      </c>
      <c r="D196" s="185"/>
      <c r="E196" s="21" t="s">
        <v>125</v>
      </c>
      <c r="F196" s="209" t="s">
        <v>442</v>
      </c>
      <c r="G196" s="112">
        <f t="shared" si="3"/>
        <v>48350.2666666666</v>
      </c>
      <c r="H196" s="248">
        <v>28441.3333333333</v>
      </c>
      <c r="I196" s="178"/>
      <c r="J196" s="178"/>
    </row>
    <row r="197" s="169" customFormat="1" spans="1:10">
      <c r="A197" s="182"/>
      <c r="B197" s="61" t="s">
        <v>443</v>
      </c>
      <c r="C197" s="61" t="s">
        <v>430</v>
      </c>
      <c r="D197" s="185"/>
      <c r="E197" s="21" t="s">
        <v>146</v>
      </c>
      <c r="F197" s="209" t="s">
        <v>442</v>
      </c>
      <c r="G197" s="112">
        <f t="shared" si="3"/>
        <v>54243.6</v>
      </c>
      <c r="H197" s="248">
        <v>31908</v>
      </c>
      <c r="I197" s="178"/>
      <c r="J197" s="178"/>
    </row>
    <row r="198" s="169" customFormat="1" spans="1:10">
      <c r="A198" s="182"/>
      <c r="B198" s="61" t="s">
        <v>444</v>
      </c>
      <c r="C198" s="61" t="s">
        <v>351</v>
      </c>
      <c r="D198" s="185"/>
      <c r="E198" s="21" t="s">
        <v>432</v>
      </c>
      <c r="F198" s="209" t="s">
        <v>442</v>
      </c>
      <c r="G198" s="112">
        <f t="shared" si="3"/>
        <v>40994.9333333334</v>
      </c>
      <c r="H198" s="248">
        <v>24114.6666666667</v>
      </c>
      <c r="I198" s="178"/>
      <c r="J198" s="178"/>
    </row>
    <row r="199" s="169" customFormat="1" spans="1:10">
      <c r="A199" s="182"/>
      <c r="B199" s="61" t="s">
        <v>445</v>
      </c>
      <c r="C199" s="61" t="s">
        <v>434</v>
      </c>
      <c r="D199" s="185"/>
      <c r="E199" s="21" t="s">
        <v>435</v>
      </c>
      <c r="F199" s="209" t="s">
        <v>442</v>
      </c>
      <c r="G199" s="112">
        <f t="shared" ref="G199:G262" si="4">H199*1.7</f>
        <v>29595.8666666666</v>
      </c>
      <c r="H199" s="248">
        <v>17409.3333333333</v>
      </c>
      <c r="I199" s="178"/>
      <c r="J199" s="178"/>
    </row>
    <row r="200" s="169" customFormat="1" spans="1:10">
      <c r="A200" s="182"/>
      <c r="B200" s="61" t="s">
        <v>446</v>
      </c>
      <c r="C200" s="61" t="s">
        <v>135</v>
      </c>
      <c r="D200" s="185"/>
      <c r="E200" s="204" t="s">
        <v>437</v>
      </c>
      <c r="F200" s="209" t="s">
        <v>442</v>
      </c>
      <c r="G200" s="112">
        <f t="shared" si="4"/>
        <v>20098.5333333334</v>
      </c>
      <c r="H200" s="249">
        <v>11822.6666666667</v>
      </c>
      <c r="I200" s="178"/>
      <c r="J200" s="178"/>
    </row>
    <row r="201" s="169" customFormat="1" spans="1:10">
      <c r="A201" s="182"/>
      <c r="B201" s="61" t="s">
        <v>447</v>
      </c>
      <c r="C201" s="61" t="s">
        <v>138</v>
      </c>
      <c r="D201" s="185"/>
      <c r="E201" s="204" t="s">
        <v>439</v>
      </c>
      <c r="F201" s="209" t="s">
        <v>442</v>
      </c>
      <c r="G201" s="112">
        <f t="shared" si="4"/>
        <v>5492.13333333334</v>
      </c>
      <c r="H201" s="249">
        <v>3230.66666666667</v>
      </c>
      <c r="I201" s="178"/>
      <c r="J201" s="178"/>
    </row>
    <row r="202" s="169" customFormat="1" spans="1:10">
      <c r="A202" s="182"/>
      <c r="B202" s="61" t="s">
        <v>448</v>
      </c>
      <c r="C202" s="61" t="s">
        <v>441</v>
      </c>
      <c r="D202" s="185"/>
      <c r="E202" s="21" t="s">
        <v>125</v>
      </c>
      <c r="F202" s="209" t="s">
        <v>428</v>
      </c>
      <c r="G202" s="112">
        <f t="shared" si="4"/>
        <v>52951.6</v>
      </c>
      <c r="H202" s="250">
        <v>31148</v>
      </c>
      <c r="I202" s="178"/>
      <c r="J202" s="178"/>
    </row>
    <row r="203" s="169" customFormat="1" spans="1:10">
      <c r="A203" s="182"/>
      <c r="B203" s="61" t="s">
        <v>449</v>
      </c>
      <c r="C203" s="61" t="s">
        <v>430</v>
      </c>
      <c r="D203" s="185"/>
      <c r="E203" s="21" t="s">
        <v>146</v>
      </c>
      <c r="F203" s="209" t="s">
        <v>428</v>
      </c>
      <c r="G203" s="112">
        <f t="shared" si="4"/>
        <v>59663.2</v>
      </c>
      <c r="H203" s="250">
        <v>35096</v>
      </c>
      <c r="I203" s="178"/>
      <c r="J203" s="178"/>
    </row>
    <row r="204" s="169" customFormat="1" spans="1:10">
      <c r="A204" s="182"/>
      <c r="B204" s="61" t="s">
        <v>450</v>
      </c>
      <c r="C204" s="61" t="s">
        <v>351</v>
      </c>
      <c r="D204" s="185"/>
      <c r="E204" s="21" t="s">
        <v>432</v>
      </c>
      <c r="F204" s="209" t="s">
        <v>428</v>
      </c>
      <c r="G204" s="112">
        <f t="shared" si="4"/>
        <v>39390.1333333334</v>
      </c>
      <c r="H204" s="250">
        <v>23170.6666666667</v>
      </c>
      <c r="I204" s="178"/>
      <c r="J204" s="178"/>
    </row>
    <row r="205" s="169" customFormat="1" spans="1:10">
      <c r="A205" s="182"/>
      <c r="B205" s="61" t="s">
        <v>451</v>
      </c>
      <c r="C205" s="61" t="s">
        <v>434</v>
      </c>
      <c r="D205" s="185"/>
      <c r="E205" s="21" t="s">
        <v>435</v>
      </c>
      <c r="F205" s="209" t="s">
        <v>428</v>
      </c>
      <c r="G205" s="112">
        <f t="shared" si="4"/>
        <v>28315.2</v>
      </c>
      <c r="H205" s="250">
        <v>16656</v>
      </c>
      <c r="I205" s="178"/>
      <c r="J205" s="178"/>
    </row>
    <row r="206" s="169" customFormat="1" spans="1:10">
      <c r="A206" s="182"/>
      <c r="B206" s="61" t="s">
        <v>452</v>
      </c>
      <c r="C206" s="61" t="s">
        <v>135</v>
      </c>
      <c r="D206" s="185"/>
      <c r="E206" s="204" t="s">
        <v>453</v>
      </c>
      <c r="F206" s="209" t="s">
        <v>428</v>
      </c>
      <c r="G206" s="112">
        <f t="shared" si="4"/>
        <v>17117.8666666666</v>
      </c>
      <c r="H206" s="251">
        <v>10069.3333333333</v>
      </c>
      <c r="I206" s="178"/>
      <c r="J206" s="178"/>
    </row>
    <row r="207" s="169" customFormat="1" spans="1:10">
      <c r="A207" s="182"/>
      <c r="B207" s="61" t="s">
        <v>454</v>
      </c>
      <c r="C207" s="61" t="s">
        <v>138</v>
      </c>
      <c r="D207" s="185"/>
      <c r="E207" s="204" t="s">
        <v>455</v>
      </c>
      <c r="F207" s="209" t="s">
        <v>428</v>
      </c>
      <c r="G207" s="112">
        <f t="shared" si="4"/>
        <v>8896.66666666666</v>
      </c>
      <c r="H207" s="252">
        <v>5233.33333333333</v>
      </c>
      <c r="I207" s="178"/>
      <c r="J207" s="178"/>
    </row>
    <row r="208" s="169" customFormat="1" spans="1:10">
      <c r="A208" s="182"/>
      <c r="B208" s="61" t="s">
        <v>456</v>
      </c>
      <c r="C208" s="61" t="s">
        <v>441</v>
      </c>
      <c r="D208" s="185"/>
      <c r="E208" s="21" t="s">
        <v>125</v>
      </c>
      <c r="F208" s="209" t="s">
        <v>457</v>
      </c>
      <c r="G208" s="112">
        <f t="shared" si="4"/>
        <v>54084.9333333334</v>
      </c>
      <c r="H208" s="248">
        <v>31814.6666666667</v>
      </c>
      <c r="I208" s="178"/>
      <c r="J208" s="178"/>
    </row>
    <row r="209" s="169" customFormat="1" spans="1:10">
      <c r="A209" s="182"/>
      <c r="B209" s="61" t="s">
        <v>458</v>
      </c>
      <c r="C209" s="61" t="s">
        <v>430</v>
      </c>
      <c r="D209" s="185"/>
      <c r="E209" s="21" t="s">
        <v>146</v>
      </c>
      <c r="F209" s="209" t="s">
        <v>457</v>
      </c>
      <c r="G209" s="112">
        <f t="shared" si="4"/>
        <v>60796.5333333334</v>
      </c>
      <c r="H209" s="248">
        <v>35762.6666666667</v>
      </c>
      <c r="I209" s="178"/>
      <c r="J209" s="178"/>
    </row>
    <row r="210" s="169" customFormat="1" spans="1:10">
      <c r="A210" s="182"/>
      <c r="B210" s="61" t="s">
        <v>459</v>
      </c>
      <c r="C210" s="61" t="s">
        <v>351</v>
      </c>
      <c r="D210" s="185"/>
      <c r="E210" s="21" t="s">
        <v>432</v>
      </c>
      <c r="F210" s="209" t="s">
        <v>457</v>
      </c>
      <c r="G210" s="112">
        <f t="shared" si="4"/>
        <v>40183.4666666666</v>
      </c>
      <c r="H210" s="248">
        <v>23637.3333333333</v>
      </c>
      <c r="I210" s="178"/>
      <c r="J210" s="178"/>
    </row>
    <row r="211" s="169" customFormat="1" spans="1:10">
      <c r="A211" s="182"/>
      <c r="B211" s="61" t="s">
        <v>460</v>
      </c>
      <c r="C211" s="61" t="s">
        <v>434</v>
      </c>
      <c r="D211" s="185"/>
      <c r="E211" s="21" t="s">
        <v>435</v>
      </c>
      <c r="F211" s="209" t="s">
        <v>457</v>
      </c>
      <c r="G211" s="112">
        <f t="shared" si="4"/>
        <v>28881.8666666666</v>
      </c>
      <c r="H211" s="248">
        <v>16989.3333333333</v>
      </c>
      <c r="I211" s="178"/>
      <c r="J211" s="178"/>
    </row>
    <row r="212" s="169" customFormat="1" spans="1:10">
      <c r="A212" s="182"/>
      <c r="B212" s="61" t="s">
        <v>461</v>
      </c>
      <c r="C212" s="61" t="s">
        <v>135</v>
      </c>
      <c r="D212" s="185"/>
      <c r="E212" s="204" t="s">
        <v>453</v>
      </c>
      <c r="F212" s="209" t="s">
        <v>457</v>
      </c>
      <c r="G212" s="112">
        <f t="shared" si="4"/>
        <v>17457.8666666666</v>
      </c>
      <c r="H212" s="249">
        <v>10269.3333333333</v>
      </c>
      <c r="I212" s="178"/>
      <c r="J212" s="178"/>
    </row>
    <row r="213" s="169" customFormat="1" spans="1:10">
      <c r="A213" s="182"/>
      <c r="B213" s="61" t="s">
        <v>462</v>
      </c>
      <c r="C213" s="61" t="s">
        <v>138</v>
      </c>
      <c r="D213" s="185"/>
      <c r="E213" s="204" t="s">
        <v>455</v>
      </c>
      <c r="F213" s="209" t="s">
        <v>457</v>
      </c>
      <c r="G213" s="112">
        <f t="shared" si="4"/>
        <v>9010</v>
      </c>
      <c r="H213" s="247">
        <v>5300</v>
      </c>
      <c r="I213" s="178"/>
      <c r="J213" s="178"/>
    </row>
    <row r="214" s="169" customFormat="1" spans="1:10">
      <c r="A214" s="182"/>
      <c r="B214" s="61" t="s">
        <v>463</v>
      </c>
      <c r="C214" s="61" t="s">
        <v>441</v>
      </c>
      <c r="D214" s="185"/>
      <c r="E214" s="21" t="s">
        <v>125</v>
      </c>
      <c r="F214" s="209" t="s">
        <v>428</v>
      </c>
      <c r="G214" s="112">
        <f t="shared" si="4"/>
        <v>47781.3333333334</v>
      </c>
      <c r="H214" s="253">
        <v>28106.6666666667</v>
      </c>
      <c r="I214" s="178"/>
      <c r="J214" s="178"/>
    </row>
    <row r="215" s="169" customFormat="1" spans="1:10">
      <c r="A215" s="182"/>
      <c r="B215" s="61" t="s">
        <v>464</v>
      </c>
      <c r="C215" s="61" t="s">
        <v>430</v>
      </c>
      <c r="D215" s="185"/>
      <c r="E215" s="21" t="s">
        <v>146</v>
      </c>
      <c r="F215" s="209" t="s">
        <v>428</v>
      </c>
      <c r="G215" s="112">
        <f t="shared" si="4"/>
        <v>53606.6666666666</v>
      </c>
      <c r="H215" s="253">
        <v>31533.3333333333</v>
      </c>
      <c r="I215" s="178"/>
      <c r="J215" s="178"/>
    </row>
    <row r="216" s="169" customFormat="1" spans="1:10">
      <c r="A216" s="182"/>
      <c r="B216" s="61" t="s">
        <v>465</v>
      </c>
      <c r="C216" s="61" t="s">
        <v>351</v>
      </c>
      <c r="D216" s="185"/>
      <c r="E216" s="21" t="s">
        <v>466</v>
      </c>
      <c r="F216" s="209" t="s">
        <v>428</v>
      </c>
      <c r="G216" s="112">
        <f t="shared" si="4"/>
        <v>40167.6</v>
      </c>
      <c r="H216" s="253">
        <v>23628</v>
      </c>
      <c r="I216" s="178"/>
      <c r="J216" s="178"/>
    </row>
    <row r="217" s="169" customFormat="1" spans="1:10">
      <c r="A217" s="182"/>
      <c r="B217" s="61" t="s">
        <v>467</v>
      </c>
      <c r="C217" s="61" t="s">
        <v>434</v>
      </c>
      <c r="D217" s="185"/>
      <c r="E217" s="21" t="s">
        <v>468</v>
      </c>
      <c r="F217" s="209" t="s">
        <v>428</v>
      </c>
      <c r="G217" s="112">
        <f t="shared" si="4"/>
        <v>28453.4666666666</v>
      </c>
      <c r="H217" s="253">
        <v>16737.3333333333</v>
      </c>
      <c r="I217" s="178"/>
      <c r="J217" s="178"/>
    </row>
    <row r="218" s="169" customFormat="1" spans="1:10">
      <c r="A218" s="182"/>
      <c r="B218" s="61" t="s">
        <v>469</v>
      </c>
      <c r="C218" s="61" t="s">
        <v>135</v>
      </c>
      <c r="D218" s="185"/>
      <c r="E218" s="204" t="s">
        <v>470</v>
      </c>
      <c r="F218" s="209" t="s">
        <v>428</v>
      </c>
      <c r="G218" s="112">
        <f t="shared" si="4"/>
        <v>17496.4</v>
      </c>
      <c r="H218" s="249">
        <v>10292</v>
      </c>
      <c r="I218" s="178"/>
      <c r="J218" s="178"/>
    </row>
    <row r="219" s="169" customFormat="1" spans="1:10">
      <c r="A219" s="182"/>
      <c r="B219" s="61" t="s">
        <v>471</v>
      </c>
      <c r="C219" s="61" t="s">
        <v>138</v>
      </c>
      <c r="D219" s="185"/>
      <c r="E219" s="204" t="s">
        <v>472</v>
      </c>
      <c r="F219" s="209" t="s">
        <v>428</v>
      </c>
      <c r="G219" s="112">
        <f t="shared" si="4"/>
        <v>7266.93333333334</v>
      </c>
      <c r="H219" s="247">
        <v>4274.66666666667</v>
      </c>
      <c r="I219" s="178"/>
      <c r="J219" s="178"/>
    </row>
    <row r="220" s="169" customFormat="1" spans="1:10">
      <c r="A220" s="182"/>
      <c r="B220" s="61" t="s">
        <v>473</v>
      </c>
      <c r="C220" s="61" t="s">
        <v>441</v>
      </c>
      <c r="D220" s="185"/>
      <c r="E220" s="21" t="s">
        <v>125</v>
      </c>
      <c r="F220" s="209" t="s">
        <v>474</v>
      </c>
      <c r="G220" s="112">
        <f t="shared" si="4"/>
        <v>48914.6666666666</v>
      </c>
      <c r="H220" s="248">
        <v>28773.3333333333</v>
      </c>
      <c r="I220" s="178"/>
      <c r="J220" s="178"/>
    </row>
    <row r="221" s="169" customFormat="1" spans="1:10">
      <c r="A221" s="182"/>
      <c r="B221" s="61" t="s">
        <v>475</v>
      </c>
      <c r="C221" s="61" t="s">
        <v>430</v>
      </c>
      <c r="D221" s="185"/>
      <c r="E221" s="21" t="s">
        <v>146</v>
      </c>
      <c r="F221" s="209" t="s">
        <v>474</v>
      </c>
      <c r="G221" s="112">
        <f t="shared" si="4"/>
        <v>54740</v>
      </c>
      <c r="H221" s="248">
        <v>32200</v>
      </c>
      <c r="I221" s="178"/>
      <c r="J221" s="178"/>
    </row>
    <row r="222" s="169" customFormat="1" spans="1:10">
      <c r="A222" s="182"/>
      <c r="B222" s="61" t="s">
        <v>476</v>
      </c>
      <c r="C222" s="61" t="s">
        <v>351</v>
      </c>
      <c r="D222" s="185"/>
      <c r="E222" s="21" t="s">
        <v>466</v>
      </c>
      <c r="F222" s="209" t="s">
        <v>474</v>
      </c>
      <c r="G222" s="112">
        <f t="shared" si="4"/>
        <v>40960.9333333334</v>
      </c>
      <c r="H222" s="248">
        <v>24094.6666666667</v>
      </c>
      <c r="I222" s="178"/>
      <c r="J222" s="178"/>
    </row>
    <row r="223" s="169" customFormat="1" spans="1:10">
      <c r="A223" s="182"/>
      <c r="B223" s="61" t="s">
        <v>477</v>
      </c>
      <c r="C223" s="61" t="s">
        <v>434</v>
      </c>
      <c r="D223" s="185"/>
      <c r="E223" s="21" t="s">
        <v>468</v>
      </c>
      <c r="F223" s="209" t="s">
        <v>474</v>
      </c>
      <c r="G223" s="112">
        <f t="shared" si="4"/>
        <v>29020.1333333334</v>
      </c>
      <c r="H223" s="248">
        <v>17070.6666666667</v>
      </c>
      <c r="I223" s="178"/>
      <c r="J223" s="178"/>
    </row>
    <row r="224" s="169" customFormat="1" spans="1:10">
      <c r="A224" s="182"/>
      <c r="B224" s="61" t="s">
        <v>478</v>
      </c>
      <c r="C224" s="61" t="s">
        <v>135</v>
      </c>
      <c r="D224" s="185"/>
      <c r="E224" s="204" t="s">
        <v>470</v>
      </c>
      <c r="F224" s="209" t="s">
        <v>474</v>
      </c>
      <c r="G224" s="112">
        <f t="shared" si="4"/>
        <v>17836.4</v>
      </c>
      <c r="H224" s="249">
        <v>10492</v>
      </c>
      <c r="I224" s="178"/>
      <c r="J224" s="178"/>
    </row>
    <row r="225" s="169" customFormat="1" spans="1:10">
      <c r="A225" s="182"/>
      <c r="B225" s="61" t="s">
        <v>479</v>
      </c>
      <c r="C225" s="61" t="s">
        <v>138</v>
      </c>
      <c r="D225" s="185"/>
      <c r="E225" s="204" t="s">
        <v>472</v>
      </c>
      <c r="F225" s="209" t="s">
        <v>474</v>
      </c>
      <c r="G225" s="112">
        <f t="shared" si="4"/>
        <v>7380.26666666666</v>
      </c>
      <c r="H225" s="249">
        <v>4341.33333333333</v>
      </c>
      <c r="I225" s="178"/>
      <c r="J225" s="178"/>
    </row>
    <row r="226" s="169" customFormat="1" spans="1:10">
      <c r="A226" s="182"/>
      <c r="B226" s="61" t="s">
        <v>480</v>
      </c>
      <c r="C226" s="61" t="s">
        <v>441</v>
      </c>
      <c r="D226" s="185"/>
      <c r="E226" s="21" t="s">
        <v>125</v>
      </c>
      <c r="F226" s="209" t="s">
        <v>428</v>
      </c>
      <c r="G226" s="112">
        <f t="shared" si="4"/>
        <v>44132</v>
      </c>
      <c r="H226" s="253">
        <v>25960</v>
      </c>
      <c r="I226" s="178"/>
      <c r="J226" s="178"/>
    </row>
    <row r="227" s="169" customFormat="1" spans="1:10">
      <c r="A227" s="182"/>
      <c r="B227" s="61" t="s">
        <v>481</v>
      </c>
      <c r="C227" s="61" t="s">
        <v>430</v>
      </c>
      <c r="D227" s="185"/>
      <c r="E227" s="21" t="s">
        <v>146</v>
      </c>
      <c r="F227" s="209" t="s">
        <v>428</v>
      </c>
      <c r="G227" s="112">
        <f t="shared" si="4"/>
        <v>49837.2</v>
      </c>
      <c r="H227" s="253">
        <v>29316</v>
      </c>
      <c r="I227" s="178"/>
      <c r="J227" s="178"/>
    </row>
    <row r="228" s="169" customFormat="1" spans="1:10">
      <c r="A228" s="182"/>
      <c r="B228" s="61" t="s">
        <v>482</v>
      </c>
      <c r="C228" s="61" t="s">
        <v>351</v>
      </c>
      <c r="D228" s="185"/>
      <c r="E228" s="21" t="s">
        <v>432</v>
      </c>
      <c r="F228" s="209" t="s">
        <v>428</v>
      </c>
      <c r="G228" s="112">
        <f t="shared" si="4"/>
        <v>38737.3333333334</v>
      </c>
      <c r="H228" s="253">
        <v>22786.6666666667</v>
      </c>
      <c r="I228" s="178"/>
      <c r="J228" s="178"/>
    </row>
    <row r="229" s="169" customFormat="1" spans="1:10">
      <c r="A229" s="182"/>
      <c r="B229" s="61" t="s">
        <v>483</v>
      </c>
      <c r="C229" s="61" t="s">
        <v>434</v>
      </c>
      <c r="D229" s="185"/>
      <c r="E229" s="21" t="s">
        <v>435</v>
      </c>
      <c r="F229" s="209" t="s">
        <v>428</v>
      </c>
      <c r="G229" s="112">
        <f t="shared" si="4"/>
        <v>27875.4666666666</v>
      </c>
      <c r="H229" s="253">
        <v>16397.3333333333</v>
      </c>
      <c r="I229" s="178"/>
      <c r="J229" s="178"/>
    </row>
    <row r="230" s="169" customFormat="1" spans="1:10">
      <c r="A230" s="182"/>
      <c r="B230" s="61" t="s">
        <v>484</v>
      </c>
      <c r="C230" s="61" t="s">
        <v>135</v>
      </c>
      <c r="D230" s="185"/>
      <c r="E230" s="204" t="s">
        <v>485</v>
      </c>
      <c r="F230" s="209" t="s">
        <v>428</v>
      </c>
      <c r="G230" s="112">
        <f t="shared" si="4"/>
        <v>20245.8666666666</v>
      </c>
      <c r="H230" s="249">
        <v>11909.3333333333</v>
      </c>
      <c r="I230" s="178"/>
      <c r="J230" s="178"/>
    </row>
    <row r="231" s="169" customFormat="1" spans="1:10">
      <c r="A231" s="182"/>
      <c r="B231" s="61" t="s">
        <v>486</v>
      </c>
      <c r="C231" s="61" t="s">
        <v>138</v>
      </c>
      <c r="D231" s="185"/>
      <c r="E231" s="204" t="s">
        <v>439</v>
      </c>
      <c r="F231" s="209" t="s">
        <v>428</v>
      </c>
      <c r="G231" s="112">
        <f t="shared" si="4"/>
        <v>4794</v>
      </c>
      <c r="H231" s="249">
        <v>2820</v>
      </c>
      <c r="I231" s="178"/>
      <c r="J231" s="178"/>
    </row>
    <row r="232" s="169" customFormat="1" spans="1:10">
      <c r="A232" s="182"/>
      <c r="B232" s="61" t="s">
        <v>487</v>
      </c>
      <c r="C232" s="61" t="s">
        <v>441</v>
      </c>
      <c r="D232" s="185"/>
      <c r="E232" s="21" t="s">
        <v>125</v>
      </c>
      <c r="F232" s="209" t="s">
        <v>474</v>
      </c>
      <c r="G232" s="112">
        <f t="shared" si="4"/>
        <v>45265.3333333334</v>
      </c>
      <c r="H232" s="248">
        <v>26626.6666666667</v>
      </c>
      <c r="I232" s="178"/>
      <c r="J232" s="178"/>
    </row>
    <row r="233" s="169" customFormat="1" spans="1:10">
      <c r="A233" s="182"/>
      <c r="B233" s="61" t="s">
        <v>488</v>
      </c>
      <c r="C233" s="61" t="s">
        <v>430</v>
      </c>
      <c r="D233" s="185"/>
      <c r="E233" s="21" t="s">
        <v>146</v>
      </c>
      <c r="F233" s="209" t="s">
        <v>474</v>
      </c>
      <c r="G233" s="112">
        <f t="shared" si="4"/>
        <v>50970.5333333334</v>
      </c>
      <c r="H233" s="248">
        <v>29982.6666666667</v>
      </c>
      <c r="I233" s="178"/>
      <c r="J233" s="178"/>
    </row>
    <row r="234" s="169" customFormat="1" spans="1:10">
      <c r="A234" s="182"/>
      <c r="B234" s="61" t="s">
        <v>489</v>
      </c>
      <c r="C234" s="61" t="s">
        <v>351</v>
      </c>
      <c r="D234" s="185"/>
      <c r="E234" s="21" t="s">
        <v>432</v>
      </c>
      <c r="F234" s="209" t="s">
        <v>474</v>
      </c>
      <c r="G234" s="112">
        <f t="shared" si="4"/>
        <v>39530.6666666666</v>
      </c>
      <c r="H234" s="248">
        <v>23253.3333333333</v>
      </c>
      <c r="I234" s="178"/>
      <c r="J234" s="178"/>
    </row>
    <row r="235" s="169" customFormat="1" spans="1:10">
      <c r="A235" s="182"/>
      <c r="B235" s="61" t="s">
        <v>490</v>
      </c>
      <c r="C235" s="61" t="s">
        <v>434</v>
      </c>
      <c r="D235" s="185"/>
      <c r="E235" s="21" t="s">
        <v>435</v>
      </c>
      <c r="F235" s="209" t="s">
        <v>474</v>
      </c>
      <c r="G235" s="112">
        <f t="shared" si="4"/>
        <v>28442.1333333334</v>
      </c>
      <c r="H235" s="248">
        <v>16730.6666666667</v>
      </c>
      <c r="I235" s="178"/>
      <c r="J235" s="178"/>
    </row>
    <row r="236" s="169" customFormat="1" spans="1:10">
      <c r="A236" s="182"/>
      <c r="B236" s="61" t="s">
        <v>491</v>
      </c>
      <c r="C236" s="61" t="s">
        <v>135</v>
      </c>
      <c r="D236" s="185"/>
      <c r="E236" s="204" t="s">
        <v>485</v>
      </c>
      <c r="F236" s="209" t="s">
        <v>474</v>
      </c>
      <c r="G236" s="112">
        <f t="shared" si="4"/>
        <v>20585.8666666666</v>
      </c>
      <c r="H236" s="249">
        <v>12109.3333333333</v>
      </c>
      <c r="I236" s="178"/>
      <c r="J236" s="178"/>
    </row>
    <row r="237" s="169" customFormat="1" spans="1:10">
      <c r="A237" s="182"/>
      <c r="B237" s="61" t="s">
        <v>492</v>
      </c>
      <c r="C237" s="61" t="s">
        <v>138</v>
      </c>
      <c r="D237" s="185"/>
      <c r="E237" s="204" t="s">
        <v>439</v>
      </c>
      <c r="F237" s="209" t="s">
        <v>474</v>
      </c>
      <c r="G237" s="112">
        <f t="shared" si="4"/>
        <v>4907.33333333334</v>
      </c>
      <c r="H237" s="249">
        <v>2886.66666666667</v>
      </c>
      <c r="I237" s="178"/>
      <c r="J237" s="178"/>
    </row>
    <row r="238" s="169" customFormat="1" spans="1:10">
      <c r="A238" s="182"/>
      <c r="B238" s="61" t="s">
        <v>493</v>
      </c>
      <c r="C238" s="61" t="s">
        <v>441</v>
      </c>
      <c r="D238" s="185"/>
      <c r="E238" s="21" t="s">
        <v>125</v>
      </c>
      <c r="F238" s="209" t="s">
        <v>428</v>
      </c>
      <c r="G238" s="112">
        <f t="shared" si="4"/>
        <v>49159.4666666666</v>
      </c>
      <c r="H238" s="253">
        <v>28917.3333333333</v>
      </c>
      <c r="I238" s="178"/>
      <c r="J238" s="178"/>
    </row>
    <row r="239" s="169" customFormat="1" spans="1:10">
      <c r="A239" s="182"/>
      <c r="B239" s="61" t="s">
        <v>494</v>
      </c>
      <c r="C239" s="61" t="s">
        <v>430</v>
      </c>
      <c r="D239" s="185"/>
      <c r="E239" s="21" t="s">
        <v>146</v>
      </c>
      <c r="F239" s="209" t="s">
        <v>428</v>
      </c>
      <c r="G239" s="112">
        <f t="shared" si="4"/>
        <v>55682.9333333334</v>
      </c>
      <c r="H239" s="253">
        <v>32754.6666666667</v>
      </c>
      <c r="I239" s="178"/>
      <c r="J239" s="178"/>
    </row>
    <row r="240" s="169" customFormat="1" spans="1:10">
      <c r="A240" s="182"/>
      <c r="B240" s="61" t="s">
        <v>495</v>
      </c>
      <c r="C240" s="61" t="s">
        <v>351</v>
      </c>
      <c r="D240" s="185"/>
      <c r="E240" s="21" t="s">
        <v>496</v>
      </c>
      <c r="F240" s="209" t="s">
        <v>428</v>
      </c>
      <c r="G240" s="112">
        <f t="shared" si="4"/>
        <v>40067.8666666666</v>
      </c>
      <c r="H240" s="253">
        <v>23569.3333333333</v>
      </c>
      <c r="I240" s="178"/>
      <c r="J240" s="178"/>
    </row>
    <row r="241" s="169" customFormat="1" spans="1:10">
      <c r="A241" s="182"/>
      <c r="B241" s="61" t="s">
        <v>497</v>
      </c>
      <c r="C241" s="61" t="s">
        <v>434</v>
      </c>
      <c r="D241" s="185"/>
      <c r="E241" s="21" t="s">
        <v>498</v>
      </c>
      <c r="F241" s="209" t="s">
        <v>428</v>
      </c>
      <c r="G241" s="112">
        <f t="shared" si="4"/>
        <v>28979.3333333334</v>
      </c>
      <c r="H241" s="253">
        <v>17046.6666666667</v>
      </c>
      <c r="I241" s="178"/>
      <c r="J241" s="178"/>
    </row>
    <row r="242" s="169" customFormat="1" spans="1:10">
      <c r="A242" s="182"/>
      <c r="B242" s="61" t="s">
        <v>499</v>
      </c>
      <c r="C242" s="61" t="s">
        <v>135</v>
      </c>
      <c r="D242" s="185"/>
      <c r="E242" s="204" t="s">
        <v>470</v>
      </c>
      <c r="F242" s="209" t="s">
        <v>428</v>
      </c>
      <c r="G242" s="112">
        <f t="shared" si="4"/>
        <v>16984.1333333333</v>
      </c>
      <c r="H242" s="249">
        <v>9990.66666666667</v>
      </c>
      <c r="I242" s="178"/>
      <c r="J242" s="178"/>
    </row>
    <row r="243" s="169" customFormat="1" spans="1:10">
      <c r="A243" s="182"/>
      <c r="B243" s="61" t="s">
        <v>500</v>
      </c>
      <c r="C243" s="61" t="s">
        <v>138</v>
      </c>
      <c r="D243" s="185"/>
      <c r="E243" s="204" t="s">
        <v>501</v>
      </c>
      <c r="F243" s="209" t="s">
        <v>428</v>
      </c>
      <c r="G243" s="112">
        <f t="shared" si="4"/>
        <v>6564.26666666666</v>
      </c>
      <c r="H243" s="249">
        <v>3861.33333333333</v>
      </c>
      <c r="I243" s="178"/>
      <c r="J243" s="178"/>
    </row>
    <row r="244" s="169" customFormat="1" spans="1:10">
      <c r="A244" s="182"/>
      <c r="B244" s="61" t="s">
        <v>502</v>
      </c>
      <c r="C244" s="61" t="s">
        <v>441</v>
      </c>
      <c r="D244" s="185"/>
      <c r="E244" s="21" t="s">
        <v>125</v>
      </c>
      <c r="F244" s="209" t="s">
        <v>503</v>
      </c>
      <c r="G244" s="112">
        <f t="shared" si="4"/>
        <v>50292.8</v>
      </c>
      <c r="H244" s="248">
        <v>29584</v>
      </c>
      <c r="I244" s="178"/>
      <c r="J244" s="178"/>
    </row>
    <row r="245" s="169" customFormat="1" spans="1:10">
      <c r="A245" s="182"/>
      <c r="B245" s="61" t="s">
        <v>504</v>
      </c>
      <c r="C245" s="61" t="s">
        <v>430</v>
      </c>
      <c r="D245" s="185"/>
      <c r="E245" s="21" t="s">
        <v>146</v>
      </c>
      <c r="F245" s="209" t="s">
        <v>503</v>
      </c>
      <c r="G245" s="112">
        <f t="shared" si="4"/>
        <v>56816.2666666666</v>
      </c>
      <c r="H245" s="248">
        <v>33421.3333333333</v>
      </c>
      <c r="I245" s="178"/>
      <c r="J245" s="178"/>
    </row>
    <row r="246" s="169" customFormat="1" spans="1:10">
      <c r="A246" s="182"/>
      <c r="B246" s="61" t="s">
        <v>505</v>
      </c>
      <c r="C246" s="61" t="s">
        <v>351</v>
      </c>
      <c r="D246" s="185"/>
      <c r="E246" s="21" t="s">
        <v>496</v>
      </c>
      <c r="F246" s="209" t="s">
        <v>503</v>
      </c>
      <c r="G246" s="112">
        <f t="shared" si="4"/>
        <v>40861.2</v>
      </c>
      <c r="H246" s="248">
        <v>24036</v>
      </c>
      <c r="I246" s="178"/>
      <c r="J246" s="178"/>
    </row>
    <row r="247" s="169" customFormat="1" spans="1:10">
      <c r="A247" s="182"/>
      <c r="B247" s="61" t="s">
        <v>506</v>
      </c>
      <c r="C247" s="61" t="s">
        <v>434</v>
      </c>
      <c r="D247" s="185"/>
      <c r="E247" s="21" t="s">
        <v>498</v>
      </c>
      <c r="F247" s="209" t="s">
        <v>503</v>
      </c>
      <c r="G247" s="112">
        <f t="shared" si="4"/>
        <v>29546</v>
      </c>
      <c r="H247" s="248">
        <v>17380</v>
      </c>
      <c r="I247" s="178"/>
      <c r="J247" s="178"/>
    </row>
    <row r="248" s="169" customFormat="1" spans="1:10">
      <c r="A248" s="182"/>
      <c r="B248" s="61" t="s">
        <v>507</v>
      </c>
      <c r="C248" s="61" t="s">
        <v>135</v>
      </c>
      <c r="D248" s="185"/>
      <c r="E248" s="204" t="s">
        <v>470</v>
      </c>
      <c r="F248" s="209" t="s">
        <v>503</v>
      </c>
      <c r="G248" s="112">
        <f t="shared" si="4"/>
        <v>17324.1333333334</v>
      </c>
      <c r="H248" s="249">
        <v>10190.6666666667</v>
      </c>
      <c r="I248" s="178"/>
      <c r="J248" s="178"/>
    </row>
    <row r="249" s="169" customFormat="1" spans="1:10">
      <c r="A249" s="182"/>
      <c r="B249" s="61" t="s">
        <v>508</v>
      </c>
      <c r="C249" s="61" t="s">
        <v>138</v>
      </c>
      <c r="D249" s="185"/>
      <c r="E249" s="204" t="s">
        <v>501</v>
      </c>
      <c r="F249" s="209" t="s">
        <v>503</v>
      </c>
      <c r="G249" s="112">
        <f t="shared" si="4"/>
        <v>6677.6</v>
      </c>
      <c r="H249" s="249">
        <v>3928</v>
      </c>
      <c r="I249" s="178"/>
      <c r="J249" s="178"/>
    </row>
    <row r="250" s="169" customFormat="1" spans="1:10">
      <c r="A250" s="182"/>
      <c r="B250" s="61" t="s">
        <v>509</v>
      </c>
      <c r="C250" s="61" t="s">
        <v>441</v>
      </c>
      <c r="D250" s="185"/>
      <c r="E250" s="21" t="s">
        <v>125</v>
      </c>
      <c r="F250" s="209" t="s">
        <v>428</v>
      </c>
      <c r="G250" s="112">
        <f t="shared" si="4"/>
        <v>48411.4666666666</v>
      </c>
      <c r="H250" s="253">
        <v>28477.3333333333</v>
      </c>
      <c r="I250" s="178"/>
      <c r="J250" s="178"/>
    </row>
    <row r="251" s="169" customFormat="1" spans="1:10">
      <c r="A251" s="182"/>
      <c r="B251" s="61" t="s">
        <v>510</v>
      </c>
      <c r="C251" s="61" t="s">
        <v>430</v>
      </c>
      <c r="D251" s="185"/>
      <c r="E251" s="21" t="s">
        <v>146</v>
      </c>
      <c r="F251" s="209" t="s">
        <v>428</v>
      </c>
      <c r="G251" s="112">
        <f t="shared" si="4"/>
        <v>54706</v>
      </c>
      <c r="H251" s="253">
        <v>32180</v>
      </c>
      <c r="I251" s="178"/>
      <c r="J251" s="178"/>
    </row>
    <row r="252" s="169" customFormat="1" spans="1:10">
      <c r="A252" s="182"/>
      <c r="B252" s="61" t="s">
        <v>511</v>
      </c>
      <c r="C252" s="61" t="s">
        <v>351</v>
      </c>
      <c r="D252" s="185"/>
      <c r="E252" s="21" t="s">
        <v>496</v>
      </c>
      <c r="F252" s="209" t="s">
        <v>428</v>
      </c>
      <c r="G252" s="112">
        <f t="shared" si="4"/>
        <v>37887.3333333334</v>
      </c>
      <c r="H252" s="253">
        <v>22286.6666666667</v>
      </c>
      <c r="I252" s="178"/>
      <c r="J252" s="178"/>
    </row>
    <row r="253" s="169" customFormat="1" spans="1:10">
      <c r="A253" s="182"/>
      <c r="B253" s="61" t="s">
        <v>512</v>
      </c>
      <c r="C253" s="61" t="s">
        <v>434</v>
      </c>
      <c r="D253" s="185"/>
      <c r="E253" s="21" t="s">
        <v>498</v>
      </c>
      <c r="F253" s="209" t="s">
        <v>428</v>
      </c>
      <c r="G253" s="112">
        <f t="shared" si="4"/>
        <v>27730.4</v>
      </c>
      <c r="H253" s="253">
        <v>16312</v>
      </c>
      <c r="I253" s="178"/>
      <c r="J253" s="178"/>
    </row>
    <row r="254" s="169" customFormat="1" spans="1:10">
      <c r="A254" s="182"/>
      <c r="B254" s="61" t="s">
        <v>513</v>
      </c>
      <c r="C254" s="61" t="s">
        <v>135</v>
      </c>
      <c r="D254" s="185"/>
      <c r="E254" s="204" t="s">
        <v>514</v>
      </c>
      <c r="F254" s="209" t="s">
        <v>428</v>
      </c>
      <c r="G254" s="112">
        <f t="shared" si="4"/>
        <v>19393.6</v>
      </c>
      <c r="H254" s="249">
        <v>11408</v>
      </c>
      <c r="I254" s="178"/>
      <c r="J254" s="178"/>
    </row>
    <row r="255" s="169" customFormat="1" spans="1:10">
      <c r="A255" s="182"/>
      <c r="B255" s="61" t="s">
        <v>515</v>
      </c>
      <c r="C255" s="61" t="s">
        <v>138</v>
      </c>
      <c r="D255" s="185"/>
      <c r="E255" s="204" t="s">
        <v>439</v>
      </c>
      <c r="F255" s="209" t="s">
        <v>428</v>
      </c>
      <c r="G255" s="112">
        <f t="shared" si="4"/>
        <v>6428.26666666666</v>
      </c>
      <c r="H255" s="247">
        <v>3781.33333333333</v>
      </c>
      <c r="I255" s="178"/>
      <c r="J255" s="178"/>
    </row>
    <row r="256" s="169" customFormat="1" spans="1:10">
      <c r="A256" s="182"/>
      <c r="B256" s="61" t="s">
        <v>516</v>
      </c>
      <c r="C256" s="61" t="s">
        <v>441</v>
      </c>
      <c r="D256" s="185"/>
      <c r="E256" s="21" t="s">
        <v>125</v>
      </c>
      <c r="F256" s="209" t="s">
        <v>457</v>
      </c>
      <c r="G256" s="112">
        <f t="shared" si="4"/>
        <v>49544.8</v>
      </c>
      <c r="H256" s="248">
        <v>29144</v>
      </c>
      <c r="I256" s="178"/>
      <c r="J256" s="178"/>
    </row>
    <row r="257" s="169" customFormat="1" spans="1:10">
      <c r="A257" s="182"/>
      <c r="B257" s="61" t="s">
        <v>517</v>
      </c>
      <c r="C257" s="61" t="s">
        <v>430</v>
      </c>
      <c r="D257" s="185"/>
      <c r="E257" s="21" t="s">
        <v>146</v>
      </c>
      <c r="F257" s="209" t="s">
        <v>457</v>
      </c>
      <c r="G257" s="112">
        <f t="shared" si="4"/>
        <v>55839.3333333334</v>
      </c>
      <c r="H257" s="248">
        <v>32846.6666666667</v>
      </c>
      <c r="I257" s="178"/>
      <c r="J257" s="178"/>
    </row>
    <row r="258" s="169" customFormat="1" spans="1:10">
      <c r="A258" s="182"/>
      <c r="B258" s="61" t="s">
        <v>518</v>
      </c>
      <c r="C258" s="61" t="s">
        <v>351</v>
      </c>
      <c r="D258" s="185"/>
      <c r="E258" s="21" t="s">
        <v>496</v>
      </c>
      <c r="F258" s="209" t="s">
        <v>457</v>
      </c>
      <c r="G258" s="112">
        <f t="shared" si="4"/>
        <v>38680.6666666666</v>
      </c>
      <c r="H258" s="248">
        <v>22753.3333333333</v>
      </c>
      <c r="I258" s="178"/>
      <c r="J258" s="178"/>
    </row>
    <row r="259" s="169" customFormat="1" spans="1:10">
      <c r="A259" s="182"/>
      <c r="B259" s="61" t="s">
        <v>519</v>
      </c>
      <c r="C259" s="61" t="s">
        <v>434</v>
      </c>
      <c r="D259" s="185"/>
      <c r="E259" s="21" t="s">
        <v>498</v>
      </c>
      <c r="F259" s="209" t="s">
        <v>457</v>
      </c>
      <c r="G259" s="112">
        <f t="shared" si="4"/>
        <v>28297.0666666666</v>
      </c>
      <c r="H259" s="248">
        <v>16645.3333333333</v>
      </c>
      <c r="I259" s="178"/>
      <c r="J259" s="178"/>
    </row>
    <row r="260" s="169" customFormat="1" spans="1:10">
      <c r="A260" s="182"/>
      <c r="B260" s="61" t="s">
        <v>520</v>
      </c>
      <c r="C260" s="61" t="s">
        <v>135</v>
      </c>
      <c r="D260" s="185"/>
      <c r="E260" s="204" t="s">
        <v>514</v>
      </c>
      <c r="F260" s="209" t="s">
        <v>457</v>
      </c>
      <c r="G260" s="112">
        <f t="shared" si="4"/>
        <v>19733.6</v>
      </c>
      <c r="H260" s="249">
        <v>11608</v>
      </c>
      <c r="I260" s="178"/>
      <c r="J260" s="178"/>
    </row>
    <row r="261" s="169" customFormat="1" spans="1:10">
      <c r="A261" s="182"/>
      <c r="B261" s="61" t="s">
        <v>521</v>
      </c>
      <c r="C261" s="61" t="s">
        <v>138</v>
      </c>
      <c r="D261" s="185"/>
      <c r="E261" s="204" t="s">
        <v>439</v>
      </c>
      <c r="F261" s="209" t="s">
        <v>457</v>
      </c>
      <c r="G261" s="112">
        <f t="shared" si="4"/>
        <v>6541.6</v>
      </c>
      <c r="H261" s="247">
        <v>3848</v>
      </c>
      <c r="I261" s="178"/>
      <c r="J261" s="178"/>
    </row>
    <row r="262" s="169" customFormat="1" spans="1:10">
      <c r="A262" s="182"/>
      <c r="B262" s="61" t="s">
        <v>522</v>
      </c>
      <c r="C262" s="61" t="s">
        <v>441</v>
      </c>
      <c r="D262" s="185"/>
      <c r="E262" s="21" t="s">
        <v>125</v>
      </c>
      <c r="F262" s="254" t="s">
        <v>428</v>
      </c>
      <c r="G262" s="112">
        <f t="shared" si="4"/>
        <v>53200.9333333334</v>
      </c>
      <c r="H262" s="248">
        <v>31294.6666666667</v>
      </c>
      <c r="I262" s="178"/>
      <c r="J262" s="178"/>
    </row>
    <row r="263" s="169" customFormat="1" spans="1:10">
      <c r="A263" s="182"/>
      <c r="B263" s="61" t="s">
        <v>523</v>
      </c>
      <c r="C263" s="61" t="s">
        <v>430</v>
      </c>
      <c r="D263" s="185"/>
      <c r="E263" s="21" t="s">
        <v>146</v>
      </c>
      <c r="F263" s="254" t="s">
        <v>428</v>
      </c>
      <c r="G263" s="112">
        <f t="shared" ref="G263:G285" si="5">H263*1.7</f>
        <v>58670.4</v>
      </c>
      <c r="H263" s="248">
        <v>34512</v>
      </c>
      <c r="I263" s="178"/>
      <c r="J263" s="178"/>
    </row>
    <row r="264" s="169" customFormat="1" spans="1:10">
      <c r="A264" s="182"/>
      <c r="B264" s="61" t="s">
        <v>524</v>
      </c>
      <c r="C264" s="61" t="s">
        <v>351</v>
      </c>
      <c r="D264" s="185"/>
      <c r="E264" s="21" t="s">
        <v>432</v>
      </c>
      <c r="F264" s="254" t="s">
        <v>428</v>
      </c>
      <c r="G264" s="112">
        <f t="shared" si="5"/>
        <v>41368.9333333334</v>
      </c>
      <c r="H264" s="248">
        <v>24334.6666666667</v>
      </c>
      <c r="I264" s="178"/>
      <c r="J264" s="178"/>
    </row>
    <row r="265" s="169" customFormat="1" spans="1:10">
      <c r="A265" s="182"/>
      <c r="B265" s="61" t="s">
        <v>525</v>
      </c>
      <c r="C265" s="61" t="s">
        <v>434</v>
      </c>
      <c r="D265" s="185"/>
      <c r="E265" s="21" t="s">
        <v>435</v>
      </c>
      <c r="F265" s="254" t="s">
        <v>428</v>
      </c>
      <c r="G265" s="112">
        <f t="shared" si="5"/>
        <v>31207.4666666666</v>
      </c>
      <c r="H265" s="248">
        <v>18357.3333333333</v>
      </c>
      <c r="I265" s="178"/>
      <c r="J265" s="178"/>
    </row>
    <row r="266" s="169" customFormat="1" spans="1:10">
      <c r="A266" s="182"/>
      <c r="B266" s="61" t="s">
        <v>526</v>
      </c>
      <c r="C266" s="61" t="s">
        <v>135</v>
      </c>
      <c r="D266" s="185"/>
      <c r="E266" s="204" t="s">
        <v>485</v>
      </c>
      <c r="F266" s="254" t="s">
        <v>428</v>
      </c>
      <c r="G266" s="112">
        <f t="shared" si="5"/>
        <v>22412.8</v>
      </c>
      <c r="H266" s="249">
        <v>13184</v>
      </c>
      <c r="I266" s="178"/>
      <c r="J266" s="178"/>
    </row>
    <row r="267" s="169" customFormat="1" spans="1:10">
      <c r="A267" s="182"/>
      <c r="B267" s="61" t="s">
        <v>527</v>
      </c>
      <c r="C267" s="61" t="s">
        <v>138</v>
      </c>
      <c r="D267" s="185"/>
      <c r="E267" s="204" t="s">
        <v>439</v>
      </c>
      <c r="F267" s="254" t="s">
        <v>428</v>
      </c>
      <c r="G267" s="112">
        <f t="shared" si="5"/>
        <v>4630.8</v>
      </c>
      <c r="H267" s="247">
        <v>2724</v>
      </c>
      <c r="I267" s="178"/>
      <c r="J267" s="178"/>
    </row>
    <row r="268" s="169" customFormat="1" spans="1:10">
      <c r="A268" s="182"/>
      <c r="B268" s="61" t="s">
        <v>528</v>
      </c>
      <c r="C268" s="61" t="s">
        <v>441</v>
      </c>
      <c r="D268" s="185"/>
      <c r="E268" s="21" t="s">
        <v>125</v>
      </c>
      <c r="F268" s="254" t="s">
        <v>529</v>
      </c>
      <c r="G268" s="112">
        <f t="shared" si="5"/>
        <v>54334.2666666666</v>
      </c>
      <c r="H268" s="248">
        <v>31961.3333333333</v>
      </c>
      <c r="I268" s="178"/>
      <c r="J268" s="178"/>
    </row>
    <row r="269" s="169" customFormat="1" spans="1:10">
      <c r="A269" s="182"/>
      <c r="B269" s="61" t="s">
        <v>530</v>
      </c>
      <c r="C269" s="61" t="s">
        <v>430</v>
      </c>
      <c r="D269" s="185"/>
      <c r="E269" s="21" t="s">
        <v>146</v>
      </c>
      <c r="F269" s="254" t="s">
        <v>529</v>
      </c>
      <c r="G269" s="112">
        <f t="shared" si="5"/>
        <v>59803.7333333334</v>
      </c>
      <c r="H269" s="248">
        <v>35178.6666666667</v>
      </c>
      <c r="I269" s="178"/>
      <c r="J269" s="178"/>
    </row>
    <row r="270" s="169" customFormat="1" spans="1:10">
      <c r="A270" s="182"/>
      <c r="B270" s="61" t="s">
        <v>531</v>
      </c>
      <c r="C270" s="61" t="s">
        <v>351</v>
      </c>
      <c r="D270" s="185"/>
      <c r="E270" s="21" t="s">
        <v>432</v>
      </c>
      <c r="F270" s="254" t="s">
        <v>529</v>
      </c>
      <c r="G270" s="112">
        <f t="shared" si="5"/>
        <v>42162.2666666666</v>
      </c>
      <c r="H270" s="248">
        <v>24801.3333333333</v>
      </c>
      <c r="I270" s="178"/>
      <c r="J270" s="178"/>
    </row>
    <row r="271" s="169" customFormat="1" spans="1:10">
      <c r="A271" s="182"/>
      <c r="B271" s="61" t="s">
        <v>532</v>
      </c>
      <c r="C271" s="61" t="s">
        <v>434</v>
      </c>
      <c r="D271" s="185"/>
      <c r="E271" s="21" t="s">
        <v>435</v>
      </c>
      <c r="F271" s="254" t="s">
        <v>529</v>
      </c>
      <c r="G271" s="112">
        <f t="shared" si="5"/>
        <v>31774.1333333334</v>
      </c>
      <c r="H271" s="248">
        <v>18690.6666666667</v>
      </c>
      <c r="I271" s="178"/>
      <c r="J271" s="178"/>
    </row>
    <row r="272" s="169" customFormat="1" spans="1:10">
      <c r="A272" s="182"/>
      <c r="B272" s="61" t="s">
        <v>533</v>
      </c>
      <c r="C272" s="61" t="s">
        <v>135</v>
      </c>
      <c r="D272" s="185"/>
      <c r="E272" s="204" t="s">
        <v>485</v>
      </c>
      <c r="F272" s="254" t="s">
        <v>529</v>
      </c>
      <c r="G272" s="112">
        <f t="shared" si="5"/>
        <v>22752.8</v>
      </c>
      <c r="H272" s="249">
        <v>13384</v>
      </c>
      <c r="I272" s="178"/>
      <c r="J272" s="178"/>
    </row>
    <row r="273" s="169" customFormat="1" spans="1:10">
      <c r="A273" s="182"/>
      <c r="B273" s="61" t="s">
        <v>534</v>
      </c>
      <c r="C273" s="61" t="s">
        <v>138</v>
      </c>
      <c r="D273" s="185"/>
      <c r="E273" s="204" t="s">
        <v>439</v>
      </c>
      <c r="F273" s="254" t="s">
        <v>529</v>
      </c>
      <c r="G273" s="112">
        <f t="shared" si="5"/>
        <v>4744.13333333334</v>
      </c>
      <c r="H273" s="247">
        <v>2790.66666666667</v>
      </c>
      <c r="I273" s="178"/>
      <c r="J273" s="178"/>
    </row>
    <row r="274" s="169" customFormat="1" spans="1:10">
      <c r="A274" s="182"/>
      <c r="B274" s="61" t="s">
        <v>535</v>
      </c>
      <c r="C274" s="61" t="s">
        <v>441</v>
      </c>
      <c r="D274" s="185"/>
      <c r="E274" s="21" t="s">
        <v>125</v>
      </c>
      <c r="F274" s="254" t="s">
        <v>428</v>
      </c>
      <c r="G274" s="112">
        <f t="shared" si="5"/>
        <v>44957.0666666666</v>
      </c>
      <c r="H274" s="248">
        <v>26445.3333333333</v>
      </c>
      <c r="I274" s="178"/>
      <c r="J274" s="178"/>
    </row>
    <row r="275" s="169" customFormat="1" spans="1:10">
      <c r="A275" s="182"/>
      <c r="B275" s="61" t="s">
        <v>536</v>
      </c>
      <c r="C275" s="61" t="s">
        <v>430</v>
      </c>
      <c r="D275" s="185"/>
      <c r="E275" s="21" t="s">
        <v>146</v>
      </c>
      <c r="F275" s="254" t="s">
        <v>428</v>
      </c>
      <c r="G275" s="112">
        <f t="shared" si="5"/>
        <v>50995.4666666666</v>
      </c>
      <c r="H275" s="248">
        <v>29997.3333333333</v>
      </c>
      <c r="I275" s="178"/>
      <c r="J275" s="178"/>
    </row>
    <row r="276" s="169" customFormat="1" spans="1:10">
      <c r="A276" s="182"/>
      <c r="B276" s="61" t="s">
        <v>537</v>
      </c>
      <c r="C276" s="61" t="s">
        <v>351</v>
      </c>
      <c r="D276" s="185"/>
      <c r="E276" s="21" t="s">
        <v>432</v>
      </c>
      <c r="F276" s="254" t="s">
        <v>428</v>
      </c>
      <c r="G276" s="112">
        <f t="shared" si="5"/>
        <v>41990</v>
      </c>
      <c r="H276" s="248">
        <v>24700</v>
      </c>
      <c r="I276" s="178"/>
      <c r="J276" s="178"/>
    </row>
    <row r="277" s="169" customFormat="1" spans="1:10">
      <c r="A277" s="182"/>
      <c r="B277" s="61" t="s">
        <v>538</v>
      </c>
      <c r="C277" s="61" t="s">
        <v>434</v>
      </c>
      <c r="D277" s="185"/>
      <c r="E277" s="21" t="s">
        <v>435</v>
      </c>
      <c r="F277" s="254" t="s">
        <v>428</v>
      </c>
      <c r="G277" s="112">
        <f t="shared" si="5"/>
        <v>31207.4666666666</v>
      </c>
      <c r="H277" s="248">
        <v>18357.3333333333</v>
      </c>
      <c r="I277" s="178"/>
      <c r="J277" s="178"/>
    </row>
    <row r="278" s="169" customFormat="1" spans="1:10">
      <c r="A278" s="182"/>
      <c r="B278" s="61" t="s">
        <v>539</v>
      </c>
      <c r="C278" s="61" t="s">
        <v>135</v>
      </c>
      <c r="D278" s="185"/>
      <c r="E278" s="204" t="s">
        <v>540</v>
      </c>
      <c r="F278" s="254" t="s">
        <v>428</v>
      </c>
      <c r="G278" s="112">
        <f t="shared" si="5"/>
        <v>22492.1333333334</v>
      </c>
      <c r="H278" s="249">
        <v>13230.6666666667</v>
      </c>
      <c r="I278" s="178"/>
      <c r="J278" s="178"/>
    </row>
    <row r="279" s="169" customFormat="1" spans="1:10">
      <c r="A279" s="182"/>
      <c r="B279" s="61" t="s">
        <v>541</v>
      </c>
      <c r="C279" s="61" t="s">
        <v>138</v>
      </c>
      <c r="D279" s="185"/>
      <c r="E279" s="204" t="s">
        <v>439</v>
      </c>
      <c r="F279" s="254" t="s">
        <v>428</v>
      </c>
      <c r="G279" s="112">
        <f t="shared" si="5"/>
        <v>5623.6</v>
      </c>
      <c r="H279" s="247">
        <v>3308</v>
      </c>
      <c r="I279" s="178"/>
      <c r="J279" s="178"/>
    </row>
    <row r="280" s="169" customFormat="1" spans="1:10">
      <c r="A280" s="182"/>
      <c r="B280" s="61" t="s">
        <v>542</v>
      </c>
      <c r="C280" s="61" t="s">
        <v>441</v>
      </c>
      <c r="D280" s="185"/>
      <c r="E280" s="21" t="s">
        <v>125</v>
      </c>
      <c r="F280" s="254" t="s">
        <v>529</v>
      </c>
      <c r="G280" s="112">
        <f t="shared" si="5"/>
        <v>46090.4</v>
      </c>
      <c r="H280" s="248">
        <v>27112</v>
      </c>
      <c r="I280" s="178"/>
      <c r="J280" s="178"/>
    </row>
    <row r="281" s="169" customFormat="1" spans="1:10">
      <c r="A281" s="182"/>
      <c r="B281" s="61" t="s">
        <v>543</v>
      </c>
      <c r="C281" s="61" t="s">
        <v>430</v>
      </c>
      <c r="D281" s="185"/>
      <c r="E281" s="21" t="s">
        <v>146</v>
      </c>
      <c r="F281" s="254" t="s">
        <v>529</v>
      </c>
      <c r="G281" s="112">
        <f t="shared" si="5"/>
        <v>52128.8</v>
      </c>
      <c r="H281" s="248">
        <v>30664</v>
      </c>
      <c r="I281" s="178"/>
      <c r="J281" s="178"/>
    </row>
    <row r="282" s="169" customFormat="1" spans="1:10">
      <c r="A282" s="182"/>
      <c r="B282" s="61" t="s">
        <v>544</v>
      </c>
      <c r="C282" s="61" t="s">
        <v>351</v>
      </c>
      <c r="D282" s="185"/>
      <c r="E282" s="21" t="s">
        <v>432</v>
      </c>
      <c r="F282" s="254" t="s">
        <v>529</v>
      </c>
      <c r="G282" s="112">
        <f t="shared" si="5"/>
        <v>42783.3333333334</v>
      </c>
      <c r="H282" s="248">
        <v>25166.6666666667</v>
      </c>
      <c r="I282" s="178"/>
      <c r="J282" s="178"/>
    </row>
    <row r="283" s="169" customFormat="1" spans="1:10">
      <c r="A283" s="182"/>
      <c r="B283" s="61" t="s">
        <v>545</v>
      </c>
      <c r="C283" s="61" t="s">
        <v>434</v>
      </c>
      <c r="D283" s="185"/>
      <c r="E283" s="21" t="s">
        <v>435</v>
      </c>
      <c r="F283" s="254" t="s">
        <v>529</v>
      </c>
      <c r="G283" s="112">
        <f t="shared" si="5"/>
        <v>31774.1333333334</v>
      </c>
      <c r="H283" s="248">
        <v>18690.6666666667</v>
      </c>
      <c r="I283" s="178"/>
      <c r="J283" s="178"/>
    </row>
    <row r="284" s="169" customFormat="1" spans="1:10">
      <c r="A284" s="182"/>
      <c r="B284" s="61" t="s">
        <v>546</v>
      </c>
      <c r="C284" s="61" t="s">
        <v>135</v>
      </c>
      <c r="D284" s="185"/>
      <c r="E284" s="204" t="s">
        <v>540</v>
      </c>
      <c r="F284" s="254" t="s">
        <v>529</v>
      </c>
      <c r="G284" s="112">
        <f t="shared" si="5"/>
        <v>22832.1333333334</v>
      </c>
      <c r="H284" s="249">
        <v>13430.6666666667</v>
      </c>
      <c r="I284" s="178"/>
      <c r="J284" s="178"/>
    </row>
    <row r="285" s="169" customFormat="1" spans="1:10">
      <c r="A285" s="182"/>
      <c r="B285" s="61" t="s">
        <v>547</v>
      </c>
      <c r="C285" s="61" t="s">
        <v>138</v>
      </c>
      <c r="D285" s="185"/>
      <c r="E285" s="204" t="s">
        <v>439</v>
      </c>
      <c r="F285" s="254" t="s">
        <v>529</v>
      </c>
      <c r="G285" s="112">
        <f t="shared" si="5"/>
        <v>5736.93333333334</v>
      </c>
      <c r="H285" s="247">
        <v>3374.66666666667</v>
      </c>
      <c r="I285" s="178"/>
      <c r="J285" s="178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2" sqref="$A1:$XFD2"/>
    </sheetView>
  </sheetViews>
  <sheetFormatPr defaultColWidth="9.14285714285714" defaultRowHeight="12.75"/>
  <cols>
    <col min="1" max="1" width="9.14285714285714" style="155"/>
    <col min="2" max="2" width="22.8571428571429" style="155" customWidth="1"/>
    <col min="3" max="3" width="39.2857142857143" style="155" customWidth="1"/>
    <col min="4" max="4" width="11.8571428571429" style="155" customWidth="1"/>
    <col min="5" max="5" width="29" style="155" customWidth="1"/>
    <col min="6" max="6" width="19.2857142857143" style="155" customWidth="1"/>
    <col min="7" max="7" width="12.8380952380952" style="155" customWidth="1"/>
    <col min="8" max="8" width="10.8571428571429" style="155" customWidth="1"/>
    <col min="9" max="9" width="16.8190476190476" style="155" customWidth="1"/>
    <col min="10" max="16384" width="9.14285714285714" style="155"/>
  </cols>
  <sheetData>
    <row r="1" s="31" customFormat="1" ht="24" customHeight="1" spans="1:9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</row>
    <row r="2" ht="31.5" spans="1:9">
      <c r="A2" s="156"/>
      <c r="B2" s="157" t="s">
        <v>548</v>
      </c>
      <c r="C2" s="134" t="s">
        <v>549</v>
      </c>
      <c r="D2" s="158"/>
      <c r="E2" s="133" t="s">
        <v>550</v>
      </c>
      <c r="F2" s="133" t="s">
        <v>383</v>
      </c>
      <c r="G2" s="159">
        <f>H2*1.7</f>
        <v>18536.8</v>
      </c>
      <c r="H2" s="160">
        <v>10904</v>
      </c>
      <c r="I2" s="167"/>
    </row>
    <row r="3" ht="31.5" spans="1:9">
      <c r="A3" s="158"/>
      <c r="B3" s="157" t="s">
        <v>551</v>
      </c>
      <c r="C3" s="134" t="s">
        <v>552</v>
      </c>
      <c r="D3" s="158"/>
      <c r="E3" s="133" t="s">
        <v>553</v>
      </c>
      <c r="F3" s="133" t="s">
        <v>383</v>
      </c>
      <c r="G3" s="159">
        <f t="shared" ref="G3:G11" si="0">H3*1.7</f>
        <v>27565.5</v>
      </c>
      <c r="H3" s="160">
        <v>16215</v>
      </c>
      <c r="I3" s="168"/>
    </row>
    <row r="4" ht="15.75" spans="1:9">
      <c r="A4" s="158"/>
      <c r="B4" s="161" t="s">
        <v>554</v>
      </c>
      <c r="C4" s="133" t="s">
        <v>555</v>
      </c>
      <c r="D4" s="158"/>
      <c r="E4" s="133" t="s">
        <v>556</v>
      </c>
      <c r="F4" s="133" t="s">
        <v>383</v>
      </c>
      <c r="G4" s="159">
        <f t="shared" si="0"/>
        <v>35581</v>
      </c>
      <c r="H4" s="160">
        <v>20930</v>
      </c>
      <c r="I4" s="168"/>
    </row>
    <row r="5" ht="31.5" spans="1:9">
      <c r="A5" s="158"/>
      <c r="B5" s="162" t="s">
        <v>169</v>
      </c>
      <c r="C5" s="108" t="s">
        <v>170</v>
      </c>
      <c r="D5" s="158"/>
      <c r="E5" s="163" t="s">
        <v>159</v>
      </c>
      <c r="F5" s="164" t="s">
        <v>557</v>
      </c>
      <c r="G5" s="159">
        <f t="shared" si="0"/>
        <v>56535.2</v>
      </c>
      <c r="H5" s="165">
        <v>33256</v>
      </c>
      <c r="I5" s="168"/>
    </row>
    <row r="6" ht="17.25" spans="1:9">
      <c r="A6" s="158"/>
      <c r="B6" s="166" t="s">
        <v>157</v>
      </c>
      <c r="C6" s="59" t="s">
        <v>158</v>
      </c>
      <c r="D6" s="158"/>
      <c r="E6" s="163" t="s">
        <v>159</v>
      </c>
      <c r="F6" s="163" t="s">
        <v>558</v>
      </c>
      <c r="G6" s="159">
        <f t="shared" si="0"/>
        <v>58221.6</v>
      </c>
      <c r="H6" s="165">
        <v>34248</v>
      </c>
      <c r="I6" s="168"/>
    </row>
    <row r="7" ht="17.25" spans="1:9">
      <c r="A7" s="158"/>
      <c r="B7" s="166" t="s">
        <v>559</v>
      </c>
      <c r="C7" s="133" t="s">
        <v>560</v>
      </c>
      <c r="D7" s="158"/>
      <c r="E7" s="163" t="s">
        <v>159</v>
      </c>
      <c r="F7" s="163" t="s">
        <v>561</v>
      </c>
      <c r="G7" s="159">
        <f t="shared" si="0"/>
        <v>61730.4</v>
      </c>
      <c r="H7" s="160">
        <v>36312</v>
      </c>
      <c r="I7" s="168"/>
    </row>
    <row r="8" ht="17.25" spans="1:9">
      <c r="A8" s="158"/>
      <c r="B8" s="166" t="s">
        <v>562</v>
      </c>
      <c r="C8" s="133" t="s">
        <v>560</v>
      </c>
      <c r="D8" s="158"/>
      <c r="E8" s="163" t="s">
        <v>159</v>
      </c>
      <c r="F8" s="163" t="s">
        <v>563</v>
      </c>
      <c r="G8" s="159">
        <f t="shared" si="0"/>
        <v>61730.4</v>
      </c>
      <c r="H8" s="160">
        <v>36312</v>
      </c>
      <c r="I8" s="168"/>
    </row>
    <row r="9" ht="15.75" spans="1:9">
      <c r="A9" s="158"/>
      <c r="B9" s="166" t="s">
        <v>564</v>
      </c>
      <c r="C9" s="134" t="s">
        <v>565</v>
      </c>
      <c r="D9" s="158"/>
      <c r="E9" s="134" t="s">
        <v>566</v>
      </c>
      <c r="F9" s="133" t="s">
        <v>383</v>
      </c>
      <c r="G9" s="159">
        <f t="shared" si="0"/>
        <v>16189.1</v>
      </c>
      <c r="H9" s="160">
        <v>9523</v>
      </c>
      <c r="I9" s="168"/>
    </row>
    <row r="10" ht="15.75" spans="1:9">
      <c r="A10" s="158"/>
      <c r="B10" s="166" t="s">
        <v>567</v>
      </c>
      <c r="C10" s="134" t="s">
        <v>196</v>
      </c>
      <c r="D10" s="158"/>
      <c r="E10" s="59" t="s">
        <v>251</v>
      </c>
      <c r="F10" s="133" t="s">
        <v>383</v>
      </c>
      <c r="G10" s="159">
        <f t="shared" si="0"/>
        <v>18188.3</v>
      </c>
      <c r="H10" s="112">
        <v>10699</v>
      </c>
      <c r="I10" s="168"/>
    </row>
    <row r="11" ht="15.75" spans="1:9">
      <c r="A11" s="158"/>
      <c r="B11" s="166" t="s">
        <v>568</v>
      </c>
      <c r="C11" s="134" t="s">
        <v>194</v>
      </c>
      <c r="D11" s="158"/>
      <c r="E11" s="59" t="s">
        <v>238</v>
      </c>
      <c r="F11" s="133" t="s">
        <v>383</v>
      </c>
      <c r="G11" s="159">
        <f t="shared" si="0"/>
        <v>24531</v>
      </c>
      <c r="H11" s="112">
        <v>14430</v>
      </c>
      <c r="I11" s="168"/>
    </row>
  </sheetData>
  <pageMargins left="0.75" right="0.75" top="1" bottom="1" header="0.511805555555556" footer="0.511805555555556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10"/>
  <sheetViews>
    <sheetView workbookViewId="0">
      <selection activeCell="A2" sqref="$A1:$XFD2"/>
    </sheetView>
  </sheetViews>
  <sheetFormatPr defaultColWidth="9.14285714285714" defaultRowHeight="12.75"/>
  <cols>
    <col min="1" max="1" width="4.85714285714286" style="137" customWidth="1"/>
    <col min="2" max="2" width="9.14285714285714" style="137"/>
    <col min="3" max="3" width="23.4285714285714" style="137" customWidth="1"/>
    <col min="4" max="4" width="26.7142857142857" style="137" customWidth="1"/>
    <col min="5" max="5" width="30.8571428571429" style="137" customWidth="1"/>
    <col min="6" max="6" width="20.4285714285714" style="137" customWidth="1"/>
    <col min="7" max="7" width="12.2857142857143" style="137" customWidth="1"/>
  </cols>
  <sheetData>
    <row r="1" s="44" customFormat="1" ht="28.5" spans="1:249">
      <c r="A1" s="138" t="s">
        <v>0</v>
      </c>
      <c r="B1" s="51" t="s">
        <v>569</v>
      </c>
      <c r="C1" s="51" t="s">
        <v>2</v>
      </c>
      <c r="D1" s="139" t="s">
        <v>3</v>
      </c>
      <c r="E1" s="51" t="s">
        <v>570</v>
      </c>
      <c r="F1" s="140" t="s">
        <v>571</v>
      </c>
      <c r="G1" s="140" t="s">
        <v>6</v>
      </c>
      <c r="H1" s="141" t="s">
        <v>572</v>
      </c>
      <c r="I1" s="153" t="s">
        <v>8</v>
      </c>
      <c r="J1" s="154"/>
      <c r="K1" s="154"/>
      <c r="L1" s="154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86"/>
      <c r="FZ1" s="86"/>
      <c r="GA1" s="86"/>
      <c r="GB1" s="86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</row>
    <row r="2" ht="15.75" spans="1:8">
      <c r="A2" s="142">
        <v>1</v>
      </c>
      <c r="B2" s="143" t="s">
        <v>573</v>
      </c>
      <c r="C2" s="117" t="s">
        <v>574</v>
      </c>
      <c r="E2" s="143" t="s">
        <v>575</v>
      </c>
      <c r="F2" s="117" t="s">
        <v>576</v>
      </c>
      <c r="G2" s="144">
        <f>H2*1.7</f>
        <v>15089.2</v>
      </c>
      <c r="H2" s="145">
        <v>8876</v>
      </c>
    </row>
    <row r="3" ht="15.75" spans="1:8">
      <c r="A3" s="142">
        <v>2</v>
      </c>
      <c r="B3" s="143" t="s">
        <v>577</v>
      </c>
      <c r="C3" s="146" t="s">
        <v>578</v>
      </c>
      <c r="E3" s="143" t="s">
        <v>579</v>
      </c>
      <c r="F3" s="117" t="s">
        <v>233</v>
      </c>
      <c r="G3" s="144">
        <f t="shared" ref="G3:G10" si="0">H3*1.7</f>
        <v>7398.4</v>
      </c>
      <c r="H3" s="145">
        <v>4352</v>
      </c>
    </row>
    <row r="4" ht="15.75" spans="1:8">
      <c r="A4" s="142">
        <v>3</v>
      </c>
      <c r="B4" s="143" t="s">
        <v>580</v>
      </c>
      <c r="C4" s="117" t="s">
        <v>581</v>
      </c>
      <c r="E4" s="143" t="s">
        <v>582</v>
      </c>
      <c r="F4" s="117" t="s">
        <v>583</v>
      </c>
      <c r="G4" s="144">
        <f t="shared" si="0"/>
        <v>14011.4</v>
      </c>
      <c r="H4" s="145">
        <v>8242</v>
      </c>
    </row>
    <row r="5" ht="15.75" spans="1:8">
      <c r="A5" s="142">
        <v>4</v>
      </c>
      <c r="B5" s="143" t="s">
        <v>584</v>
      </c>
      <c r="C5" s="143" t="s">
        <v>585</v>
      </c>
      <c r="E5" s="143" t="s">
        <v>586</v>
      </c>
      <c r="F5" s="117" t="s">
        <v>233</v>
      </c>
      <c r="G5" s="144">
        <f t="shared" si="0"/>
        <v>15653.6</v>
      </c>
      <c r="H5" s="145">
        <v>9208</v>
      </c>
    </row>
    <row r="6" ht="15.75" spans="1:8">
      <c r="A6" s="142">
        <v>5</v>
      </c>
      <c r="B6" s="143" t="s">
        <v>587</v>
      </c>
      <c r="C6" s="117" t="s">
        <v>588</v>
      </c>
      <c r="E6" s="147" t="s">
        <v>589</v>
      </c>
      <c r="F6" s="117" t="s">
        <v>233</v>
      </c>
      <c r="G6" s="144">
        <f t="shared" si="0"/>
        <v>26394.2</v>
      </c>
      <c r="H6" s="145">
        <v>15526</v>
      </c>
    </row>
    <row r="7" ht="15.75" spans="1:8">
      <c r="A7" s="142">
        <v>6</v>
      </c>
      <c r="B7" s="143" t="s">
        <v>590</v>
      </c>
      <c r="C7" s="117" t="s">
        <v>588</v>
      </c>
      <c r="E7" s="147" t="s">
        <v>591</v>
      </c>
      <c r="F7" s="143" t="s">
        <v>592</v>
      </c>
      <c r="G7" s="144">
        <f t="shared" si="0"/>
        <v>10111.6</v>
      </c>
      <c r="H7" s="145">
        <v>5948</v>
      </c>
    </row>
    <row r="8" ht="15.75" spans="1:8">
      <c r="A8" s="142">
        <v>7</v>
      </c>
      <c r="B8" s="143" t="s">
        <v>593</v>
      </c>
      <c r="C8" s="117" t="s">
        <v>594</v>
      </c>
      <c r="E8" s="147" t="s">
        <v>595</v>
      </c>
      <c r="F8" s="117" t="s">
        <v>233</v>
      </c>
      <c r="G8" s="144">
        <f t="shared" si="0"/>
        <v>19368.1</v>
      </c>
      <c r="H8" s="145">
        <v>11393</v>
      </c>
    </row>
    <row r="9" ht="15.75" spans="1:8">
      <c r="A9" s="142">
        <v>8</v>
      </c>
      <c r="B9" s="143" t="s">
        <v>596</v>
      </c>
      <c r="C9" s="117" t="s">
        <v>594</v>
      </c>
      <c r="E9" s="147" t="s">
        <v>597</v>
      </c>
      <c r="F9" s="117" t="s">
        <v>598</v>
      </c>
      <c r="G9" s="144">
        <f t="shared" si="0"/>
        <v>21012</v>
      </c>
      <c r="H9" s="145">
        <v>12360</v>
      </c>
    </row>
    <row r="10" ht="15.75" spans="1:8">
      <c r="A10" s="142">
        <v>9</v>
      </c>
      <c r="B10" s="148" t="s">
        <v>599</v>
      </c>
      <c r="C10" s="149" t="s">
        <v>600</v>
      </c>
      <c r="E10" s="150" t="s">
        <v>601</v>
      </c>
      <c r="F10" s="151" t="s">
        <v>602</v>
      </c>
      <c r="G10" s="144">
        <f t="shared" si="0"/>
        <v>4207.5</v>
      </c>
      <c r="H10" s="152">
        <v>2475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2" sqref="$A1:$XFD2"/>
    </sheetView>
  </sheetViews>
  <sheetFormatPr defaultColWidth="9.1047619047619" defaultRowHeight="12.75"/>
  <cols>
    <col min="1" max="1" width="7.85714285714286" style="5" customWidth="1"/>
    <col min="2" max="2" width="11.1047619047619" style="5" customWidth="1"/>
    <col min="3" max="3" width="29" style="5" customWidth="1"/>
    <col min="4" max="4" width="32.2857142857143" style="5" customWidth="1"/>
    <col min="5" max="5" width="31.2857142857143" style="5" customWidth="1"/>
    <col min="6" max="6" width="20.4285714285714" style="6" customWidth="1"/>
    <col min="7" max="7" width="14.1428571428571" style="7" customWidth="1"/>
    <col min="8" max="16377" width="9.1047619047619" style="2"/>
    <col min="16378" max="16384" width="9.1047619047619" style="125"/>
  </cols>
  <sheetData>
    <row r="1" s="31" customFormat="1" ht="24" customHeight="1" spans="1:9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</row>
    <row r="2" s="2" customFormat="1" ht="38" customHeight="1" spans="1:8">
      <c r="A2" s="126"/>
      <c r="B2" s="108" t="s">
        <v>603</v>
      </c>
      <c r="C2" s="127" t="s">
        <v>604</v>
      </c>
      <c r="D2" s="128"/>
      <c r="E2" s="127" t="s">
        <v>605</v>
      </c>
      <c r="F2" s="127" t="s">
        <v>606</v>
      </c>
      <c r="G2" s="129">
        <f>H2*1.7</f>
        <v>5922.8</v>
      </c>
      <c r="H2" s="112">
        <v>3484</v>
      </c>
    </row>
    <row r="3" s="2" customFormat="1" ht="38" customHeight="1" spans="1:8">
      <c r="A3" s="126"/>
      <c r="B3" s="62" t="s">
        <v>607</v>
      </c>
      <c r="C3" s="108" t="s">
        <v>608</v>
      </c>
      <c r="D3" s="128"/>
      <c r="E3" s="127" t="s">
        <v>609</v>
      </c>
      <c r="F3" s="127" t="s">
        <v>610</v>
      </c>
      <c r="G3" s="129">
        <f t="shared" ref="G3:G29" si="0">H3*1.7</f>
        <v>11073.8</v>
      </c>
      <c r="H3" s="130">
        <v>6514</v>
      </c>
    </row>
    <row r="4" s="2" customFormat="1" ht="20" customHeight="1" spans="1:8">
      <c r="A4" s="126"/>
      <c r="B4" s="62" t="s">
        <v>611</v>
      </c>
      <c r="C4" s="108" t="s">
        <v>608</v>
      </c>
      <c r="D4" s="128"/>
      <c r="E4" s="127" t="s">
        <v>612</v>
      </c>
      <c r="F4" s="127" t="s">
        <v>610</v>
      </c>
      <c r="G4" s="129">
        <f t="shared" si="0"/>
        <v>8010.4</v>
      </c>
      <c r="H4" s="130">
        <v>4712</v>
      </c>
    </row>
    <row r="5" s="2" customFormat="1" ht="17" customHeight="1" spans="1:8">
      <c r="A5" s="126"/>
      <c r="B5" s="108" t="s">
        <v>613</v>
      </c>
      <c r="C5" s="108" t="s">
        <v>614</v>
      </c>
      <c r="D5" s="128"/>
      <c r="E5" s="127" t="s">
        <v>615</v>
      </c>
      <c r="F5" s="127" t="s">
        <v>616</v>
      </c>
      <c r="G5" s="129">
        <f t="shared" si="0"/>
        <v>3683.9</v>
      </c>
      <c r="H5" s="109">
        <v>2167</v>
      </c>
    </row>
    <row r="6" s="2" customFormat="1" ht="17" customHeight="1" spans="1:8">
      <c r="A6" s="126"/>
      <c r="B6" s="108" t="s">
        <v>617</v>
      </c>
      <c r="C6" s="108" t="s">
        <v>618</v>
      </c>
      <c r="D6" s="128"/>
      <c r="E6" s="127" t="s">
        <v>619</v>
      </c>
      <c r="F6" s="127" t="s">
        <v>616</v>
      </c>
      <c r="G6" s="129">
        <f t="shared" si="0"/>
        <v>2971.6</v>
      </c>
      <c r="H6" s="109">
        <v>1748</v>
      </c>
    </row>
    <row r="7" s="2" customFormat="1" ht="15" customHeight="1" spans="1:8">
      <c r="A7" s="126"/>
      <c r="B7" s="131" t="s">
        <v>620</v>
      </c>
      <c r="C7" s="108" t="s">
        <v>621</v>
      </c>
      <c r="D7" s="128"/>
      <c r="E7" s="127" t="s">
        <v>622</v>
      </c>
      <c r="F7" s="127" t="s">
        <v>623</v>
      </c>
      <c r="G7" s="129">
        <f t="shared" si="0"/>
        <v>11658.6</v>
      </c>
      <c r="H7" s="109">
        <v>6858</v>
      </c>
    </row>
    <row r="8" s="2" customFormat="1" ht="17" customHeight="1" spans="1:8">
      <c r="A8" s="126"/>
      <c r="B8" s="131" t="s">
        <v>624</v>
      </c>
      <c r="C8" s="108" t="s">
        <v>625</v>
      </c>
      <c r="D8" s="128"/>
      <c r="E8" s="127" t="s">
        <v>626</v>
      </c>
      <c r="F8" s="127" t="s">
        <v>623</v>
      </c>
      <c r="G8" s="129">
        <f t="shared" si="0"/>
        <v>13020.3</v>
      </c>
      <c r="H8" s="109">
        <v>7659</v>
      </c>
    </row>
    <row r="9" s="2" customFormat="1" ht="19" customHeight="1" spans="1:8">
      <c r="A9" s="126"/>
      <c r="B9" s="55" t="s">
        <v>627</v>
      </c>
      <c r="C9" s="64" t="s">
        <v>628</v>
      </c>
      <c r="D9" s="128"/>
      <c r="E9" s="64" t="s">
        <v>629</v>
      </c>
      <c r="F9" s="64" t="s">
        <v>623</v>
      </c>
      <c r="G9" s="129">
        <f t="shared" si="0"/>
        <v>10791.6</v>
      </c>
      <c r="H9" s="132">
        <v>6348</v>
      </c>
    </row>
    <row r="10" s="2" customFormat="1" ht="23" customHeight="1" spans="1:8">
      <c r="A10" s="126"/>
      <c r="B10" s="133" t="s">
        <v>630</v>
      </c>
      <c r="C10" s="133" t="s">
        <v>141</v>
      </c>
      <c r="D10" s="128"/>
      <c r="E10" s="134" t="s">
        <v>631</v>
      </c>
      <c r="F10" s="134" t="s">
        <v>606</v>
      </c>
      <c r="G10" s="129">
        <f t="shared" si="0"/>
        <v>13691.8</v>
      </c>
      <c r="H10" s="132">
        <v>8054</v>
      </c>
    </row>
    <row r="11" s="2" customFormat="1" ht="21" customHeight="1" spans="1:8">
      <c r="A11" s="126"/>
      <c r="B11" s="133" t="s">
        <v>632</v>
      </c>
      <c r="C11" s="133" t="s">
        <v>141</v>
      </c>
      <c r="D11" s="128"/>
      <c r="E11" s="134" t="s">
        <v>633</v>
      </c>
      <c r="F11" s="134" t="s">
        <v>634</v>
      </c>
      <c r="G11" s="129">
        <f t="shared" si="0"/>
        <v>6949.6</v>
      </c>
      <c r="H11" s="132">
        <v>4088</v>
      </c>
    </row>
    <row r="12" s="2" customFormat="1" ht="20" customHeight="1" spans="1:8">
      <c r="A12" s="126"/>
      <c r="B12" s="55" t="s">
        <v>635</v>
      </c>
      <c r="C12" s="55" t="s">
        <v>141</v>
      </c>
      <c r="D12" s="128"/>
      <c r="E12" s="134" t="s">
        <v>633</v>
      </c>
      <c r="F12" s="64" t="s">
        <v>636</v>
      </c>
      <c r="G12" s="129">
        <f t="shared" si="0"/>
        <v>8029.1</v>
      </c>
      <c r="H12" s="132">
        <v>4723</v>
      </c>
    </row>
    <row r="13" s="2" customFormat="1" ht="22" customHeight="1" spans="1:8">
      <c r="A13" s="126"/>
      <c r="B13" s="133" t="s">
        <v>637</v>
      </c>
      <c r="C13" s="133" t="s">
        <v>638</v>
      </c>
      <c r="D13" s="128"/>
      <c r="E13" s="134" t="s">
        <v>639</v>
      </c>
      <c r="F13" s="64" t="s">
        <v>636</v>
      </c>
      <c r="G13" s="129">
        <f t="shared" si="0"/>
        <v>20444.2</v>
      </c>
      <c r="H13" s="132">
        <v>12026</v>
      </c>
    </row>
    <row r="14" s="2" customFormat="1" ht="22" customHeight="1" spans="1:8">
      <c r="A14" s="126"/>
      <c r="B14" s="131" t="s">
        <v>640</v>
      </c>
      <c r="C14" s="108" t="s">
        <v>641</v>
      </c>
      <c r="D14" s="128"/>
      <c r="E14" s="127" t="s">
        <v>642</v>
      </c>
      <c r="F14" s="127" t="s">
        <v>643</v>
      </c>
      <c r="G14" s="129">
        <f t="shared" si="0"/>
        <v>5032</v>
      </c>
      <c r="H14" s="130">
        <v>2960</v>
      </c>
    </row>
    <row r="15" s="2" customFormat="1" ht="20" customHeight="1" spans="1:8">
      <c r="A15" s="126"/>
      <c r="B15" s="131" t="s">
        <v>644</v>
      </c>
      <c r="C15" s="108" t="s">
        <v>641</v>
      </c>
      <c r="D15" s="128"/>
      <c r="E15" s="127" t="s">
        <v>645</v>
      </c>
      <c r="F15" s="127" t="s">
        <v>576</v>
      </c>
      <c r="G15" s="129">
        <f t="shared" si="0"/>
        <v>7418.8</v>
      </c>
      <c r="H15" s="130">
        <v>4364</v>
      </c>
    </row>
    <row r="16" s="2" customFormat="1" ht="21" customHeight="1" spans="1:8">
      <c r="A16" s="126"/>
      <c r="B16" s="131" t="s">
        <v>646</v>
      </c>
      <c r="C16" s="108" t="s">
        <v>647</v>
      </c>
      <c r="D16" s="128"/>
      <c r="E16" s="127" t="s">
        <v>648</v>
      </c>
      <c r="F16" s="127" t="s">
        <v>634</v>
      </c>
      <c r="G16" s="129">
        <f t="shared" si="0"/>
        <v>18241</v>
      </c>
      <c r="H16" s="130">
        <v>10730</v>
      </c>
    </row>
    <row r="17" s="2" customFormat="1" ht="21" customHeight="1" spans="1:8">
      <c r="A17" s="126"/>
      <c r="B17" s="127" t="s">
        <v>649</v>
      </c>
      <c r="C17" s="127" t="s">
        <v>650</v>
      </c>
      <c r="D17" s="128"/>
      <c r="E17" s="127" t="s">
        <v>651</v>
      </c>
      <c r="F17" s="127" t="s">
        <v>634</v>
      </c>
      <c r="G17" s="129">
        <f t="shared" si="0"/>
        <v>9965.4</v>
      </c>
      <c r="H17" s="130">
        <v>5862</v>
      </c>
    </row>
    <row r="18" s="2" customFormat="1" ht="23" customHeight="1" spans="1:8">
      <c r="A18" s="126"/>
      <c r="B18" s="127" t="s">
        <v>652</v>
      </c>
      <c r="C18" s="127" t="s">
        <v>653</v>
      </c>
      <c r="D18" s="128"/>
      <c r="E18" s="127" t="s">
        <v>654</v>
      </c>
      <c r="F18" s="127" t="s">
        <v>655</v>
      </c>
      <c r="G18" s="129">
        <f t="shared" si="0"/>
        <v>9577.8</v>
      </c>
      <c r="H18" s="130">
        <v>5634</v>
      </c>
    </row>
    <row r="19" s="2" customFormat="1" ht="22" customHeight="1" spans="1:8">
      <c r="A19" s="126"/>
      <c r="B19" s="127" t="s">
        <v>656</v>
      </c>
      <c r="C19" s="127" t="s">
        <v>657</v>
      </c>
      <c r="D19" s="128"/>
      <c r="E19" s="127" t="s">
        <v>654</v>
      </c>
      <c r="F19" s="127" t="s">
        <v>655</v>
      </c>
      <c r="G19" s="129">
        <f t="shared" si="0"/>
        <v>8486.4</v>
      </c>
      <c r="H19" s="130">
        <v>4992</v>
      </c>
    </row>
    <row r="20" s="2" customFormat="1" ht="24" customHeight="1" spans="1:8">
      <c r="A20" s="126"/>
      <c r="B20" s="55" t="s">
        <v>658</v>
      </c>
      <c r="C20" s="55" t="s">
        <v>659</v>
      </c>
      <c r="D20" s="128"/>
      <c r="E20" s="64" t="s">
        <v>660</v>
      </c>
      <c r="F20" s="64" t="s">
        <v>606</v>
      </c>
      <c r="G20" s="129">
        <f t="shared" si="0"/>
        <v>14512.9</v>
      </c>
      <c r="H20" s="109">
        <v>8537</v>
      </c>
    </row>
    <row r="21" s="2" customFormat="1" ht="19" customHeight="1" spans="1:8">
      <c r="A21" s="126"/>
      <c r="B21" s="55" t="s">
        <v>661</v>
      </c>
      <c r="C21" s="55" t="s">
        <v>662</v>
      </c>
      <c r="D21" s="128"/>
      <c r="E21" s="64" t="s">
        <v>663</v>
      </c>
      <c r="F21" s="64" t="s">
        <v>643</v>
      </c>
      <c r="G21" s="129">
        <f t="shared" si="0"/>
        <v>9074.6</v>
      </c>
      <c r="H21" s="132">
        <v>5338</v>
      </c>
    </row>
    <row r="22" s="2" customFormat="1" ht="19" customHeight="1" spans="1:8">
      <c r="A22" s="126"/>
      <c r="B22" s="55" t="s">
        <v>664</v>
      </c>
      <c r="C22" s="55" t="s">
        <v>662</v>
      </c>
      <c r="D22" s="128"/>
      <c r="E22" s="64" t="s">
        <v>665</v>
      </c>
      <c r="F22" s="64" t="s">
        <v>606</v>
      </c>
      <c r="G22" s="129">
        <f t="shared" si="0"/>
        <v>8812.8</v>
      </c>
      <c r="H22" s="132">
        <v>5184</v>
      </c>
    </row>
    <row r="23" s="2" customFormat="1" ht="15.75" spans="1:8">
      <c r="A23" s="126"/>
      <c r="B23" s="55" t="s">
        <v>666</v>
      </c>
      <c r="C23" s="55" t="s">
        <v>667</v>
      </c>
      <c r="D23" s="128"/>
      <c r="E23" s="64" t="s">
        <v>668</v>
      </c>
      <c r="F23" s="64" t="s">
        <v>669</v>
      </c>
      <c r="G23" s="129">
        <f t="shared" si="0"/>
        <v>19002.6</v>
      </c>
      <c r="H23" s="132">
        <v>11178</v>
      </c>
    </row>
    <row r="24" s="2" customFormat="1" ht="15.75" spans="1:8">
      <c r="A24" s="126"/>
      <c r="B24" s="108" t="s">
        <v>670</v>
      </c>
      <c r="C24" s="108" t="s">
        <v>671</v>
      </c>
      <c r="D24" s="128"/>
      <c r="E24" s="127" t="s">
        <v>672</v>
      </c>
      <c r="F24" s="64">
        <v>858</v>
      </c>
      <c r="G24" s="129">
        <f t="shared" si="0"/>
        <v>14842.7</v>
      </c>
      <c r="H24" s="132">
        <v>8731</v>
      </c>
    </row>
    <row r="25" s="2" customFormat="1" ht="15.75" spans="1:8">
      <c r="A25" s="126"/>
      <c r="B25" s="55" t="s">
        <v>673</v>
      </c>
      <c r="C25" s="55" t="s">
        <v>674</v>
      </c>
      <c r="D25" s="128"/>
      <c r="E25" s="64" t="s">
        <v>675</v>
      </c>
      <c r="F25" s="64" t="s">
        <v>676</v>
      </c>
      <c r="G25" s="129">
        <f t="shared" si="0"/>
        <v>19997.1</v>
      </c>
      <c r="H25" s="109">
        <v>11763</v>
      </c>
    </row>
    <row r="26" s="2" customFormat="1" ht="15.75" spans="1:8">
      <c r="A26" s="126"/>
      <c r="B26" s="55" t="s">
        <v>677</v>
      </c>
      <c r="C26" s="55" t="s">
        <v>678</v>
      </c>
      <c r="D26" s="128"/>
      <c r="E26" s="64" t="s">
        <v>679</v>
      </c>
      <c r="F26" s="64" t="s">
        <v>606</v>
      </c>
      <c r="G26" s="129">
        <f t="shared" si="0"/>
        <v>2607.8</v>
      </c>
      <c r="H26" s="135">
        <v>1534</v>
      </c>
    </row>
    <row r="27" s="2" customFormat="1" ht="15.75" spans="1:8">
      <c r="A27" s="126"/>
      <c r="B27" s="55" t="s">
        <v>680</v>
      </c>
      <c r="C27" s="55" t="s">
        <v>678</v>
      </c>
      <c r="D27" s="128"/>
      <c r="E27" s="64" t="s">
        <v>681</v>
      </c>
      <c r="F27" s="64" t="s">
        <v>606</v>
      </c>
      <c r="G27" s="129">
        <f t="shared" si="0"/>
        <v>3570</v>
      </c>
      <c r="H27" s="135">
        <v>2100</v>
      </c>
    </row>
    <row r="28" s="2" customFormat="1" ht="15.75" spans="1:8">
      <c r="A28" s="126"/>
      <c r="B28" s="55" t="s">
        <v>682</v>
      </c>
      <c r="C28" s="55" t="s">
        <v>678</v>
      </c>
      <c r="D28" s="128"/>
      <c r="E28" s="64" t="s">
        <v>683</v>
      </c>
      <c r="F28" s="64" t="s">
        <v>606</v>
      </c>
      <c r="G28" s="129">
        <f t="shared" si="0"/>
        <v>4348.6</v>
      </c>
      <c r="H28" s="136">
        <v>2558</v>
      </c>
    </row>
    <row r="29" s="2" customFormat="1" ht="15.75" spans="1:8">
      <c r="A29" s="126"/>
      <c r="B29" s="55" t="s">
        <v>684</v>
      </c>
      <c r="C29" s="55" t="s">
        <v>685</v>
      </c>
      <c r="D29" s="128"/>
      <c r="E29" s="64" t="s">
        <v>686</v>
      </c>
      <c r="F29" s="64" t="s">
        <v>583</v>
      </c>
      <c r="G29" s="129">
        <f t="shared" si="0"/>
        <v>27060.6</v>
      </c>
      <c r="H29" s="132">
        <v>15918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40"/>
  <sheetViews>
    <sheetView workbookViewId="0">
      <selection activeCell="C20" sqref="C20"/>
    </sheetView>
  </sheetViews>
  <sheetFormatPr defaultColWidth="8.88571428571429" defaultRowHeight="15.75"/>
  <cols>
    <col min="1" max="1" width="6.21904761904762" style="45" customWidth="1"/>
    <col min="2" max="2" width="10.5809523809524" style="45" customWidth="1"/>
    <col min="3" max="3" width="28.9047619047619" style="46" customWidth="1"/>
    <col min="4" max="4" width="37.7142857142857" style="87" customWidth="1"/>
    <col min="5" max="5" width="31" style="47" customWidth="1"/>
    <col min="6" max="6" width="25.7142857142857" style="47" customWidth="1"/>
    <col min="7" max="7" width="14.1428571428571" style="45" customWidth="1"/>
    <col min="8" max="8" width="14.1428571428571" style="48" customWidth="1"/>
    <col min="9" max="16379" width="8.88571428571429" style="4"/>
  </cols>
  <sheetData>
    <row r="1" s="44" customFormat="1" ht="30.75" spans="1:252">
      <c r="A1" s="88" t="s">
        <v>687</v>
      </c>
      <c r="B1" s="89"/>
      <c r="C1" s="90"/>
      <c r="D1" s="91"/>
      <c r="E1" s="92"/>
      <c r="F1" s="90"/>
      <c r="G1" s="91"/>
      <c r="H1" s="92"/>
      <c r="I1" s="120"/>
      <c r="J1" s="121"/>
      <c r="K1" s="122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86"/>
      <c r="FZ1" s="86"/>
      <c r="GA1" s="86"/>
      <c r="GB1" s="86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  <c r="IP1" s="86"/>
      <c r="IQ1" s="86"/>
      <c r="IR1" s="86"/>
    </row>
    <row r="2" s="44" customFormat="1" ht="16.5" spans="1:252">
      <c r="A2" s="93"/>
      <c r="B2" s="94"/>
      <c r="C2" s="95"/>
      <c r="D2" s="96"/>
      <c r="E2" s="97"/>
      <c r="F2" s="95"/>
      <c r="G2" s="98"/>
      <c r="H2" s="97"/>
      <c r="I2" s="123"/>
      <c r="J2" s="122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  <c r="FU2" s="86"/>
      <c r="FV2" s="86"/>
      <c r="FW2" s="86"/>
      <c r="FX2" s="86"/>
      <c r="FY2" s="86"/>
      <c r="FZ2" s="86"/>
      <c r="GA2" s="86"/>
      <c r="GB2" s="86"/>
      <c r="GC2" s="86"/>
      <c r="GD2" s="86"/>
      <c r="GE2" s="86"/>
      <c r="GF2" s="86"/>
      <c r="GG2" s="86"/>
      <c r="GH2" s="86"/>
      <c r="GI2" s="86"/>
      <c r="GJ2" s="86"/>
      <c r="GK2" s="86"/>
      <c r="GL2" s="86"/>
      <c r="GM2" s="86"/>
      <c r="GN2" s="86"/>
      <c r="GO2" s="86"/>
      <c r="GP2" s="86"/>
      <c r="GQ2" s="86"/>
      <c r="GR2" s="86"/>
      <c r="GS2" s="86"/>
      <c r="GT2" s="86"/>
      <c r="GU2" s="86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</row>
    <row r="3" s="44" customFormat="1" ht="28.5" spans="1:249">
      <c r="A3" s="49" t="s">
        <v>0</v>
      </c>
      <c r="B3" s="99" t="s">
        <v>569</v>
      </c>
      <c r="C3" s="49" t="s">
        <v>2</v>
      </c>
      <c r="D3" s="99" t="s">
        <v>3</v>
      </c>
      <c r="E3" s="51" t="s">
        <v>570</v>
      </c>
      <c r="F3" s="52" t="s">
        <v>5</v>
      </c>
      <c r="G3" s="100" t="s">
        <v>688</v>
      </c>
      <c r="H3" s="51" t="s">
        <v>689</v>
      </c>
      <c r="I3" s="124" t="s">
        <v>8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  <c r="FU3" s="86"/>
      <c r="FV3" s="86"/>
      <c r="FW3" s="86"/>
      <c r="FX3" s="86"/>
      <c r="FY3" s="86"/>
      <c r="FZ3" s="86"/>
      <c r="GA3" s="86"/>
      <c r="GB3" s="86"/>
      <c r="GC3" s="86"/>
      <c r="GD3" s="86"/>
      <c r="GE3" s="86"/>
      <c r="GF3" s="86"/>
      <c r="GG3" s="86"/>
      <c r="GH3" s="86"/>
      <c r="GI3" s="86"/>
      <c r="GJ3" s="86"/>
      <c r="GK3" s="86"/>
      <c r="GL3" s="86"/>
      <c r="GM3" s="86"/>
      <c r="GN3" s="86"/>
      <c r="GO3" s="86"/>
      <c r="GP3" s="86"/>
      <c r="GQ3" s="86"/>
      <c r="GR3" s="86"/>
      <c r="GS3" s="86"/>
      <c r="GT3" s="86"/>
      <c r="GU3" s="86"/>
      <c r="GV3" s="86"/>
      <c r="GW3" s="86"/>
      <c r="GX3" s="86"/>
      <c r="GY3" s="86"/>
      <c r="GZ3" s="86"/>
      <c r="HA3" s="86"/>
      <c r="HB3" s="86"/>
      <c r="HC3" s="86"/>
      <c r="HD3" s="86"/>
      <c r="HE3" s="86"/>
      <c r="HF3" s="86"/>
      <c r="HG3" s="86"/>
      <c r="HH3" s="86"/>
      <c r="HI3" s="86"/>
      <c r="HJ3" s="86"/>
      <c r="HK3" s="86"/>
      <c r="HL3" s="86"/>
      <c r="HM3" s="86"/>
      <c r="HN3" s="86"/>
      <c r="HO3" s="86"/>
      <c r="HP3" s="86"/>
      <c r="HQ3" s="86"/>
      <c r="HR3" s="86"/>
      <c r="HS3" s="86"/>
      <c r="HT3" s="86"/>
      <c r="HU3" s="86"/>
      <c r="HV3" s="86"/>
      <c r="HW3" s="86"/>
      <c r="HX3" s="86"/>
      <c r="HY3" s="86"/>
      <c r="HZ3" s="86"/>
      <c r="IA3" s="86"/>
      <c r="IB3" s="86"/>
      <c r="IC3" s="86"/>
      <c r="ID3" s="86"/>
      <c r="IE3" s="86"/>
      <c r="IF3" s="86"/>
      <c r="IG3" s="86"/>
      <c r="IH3" s="86"/>
      <c r="II3" s="86"/>
      <c r="IJ3" s="86"/>
      <c r="IK3" s="86"/>
      <c r="IL3" s="86"/>
      <c r="IM3" s="86"/>
      <c r="IN3" s="86"/>
      <c r="IO3" s="86"/>
    </row>
    <row r="4" s="4" customFormat="1" spans="1:8">
      <c r="A4" s="101">
        <v>1</v>
      </c>
      <c r="B4" s="102" t="s">
        <v>690</v>
      </c>
      <c r="C4" s="57"/>
      <c r="D4" s="103" t="s">
        <v>671</v>
      </c>
      <c r="E4" s="104" t="s">
        <v>691</v>
      </c>
      <c r="F4" s="105" t="s">
        <v>428</v>
      </c>
      <c r="G4" s="37">
        <v>15916.3357857008</v>
      </c>
      <c r="H4" s="37">
        <v>9362.55046217695</v>
      </c>
    </row>
    <row r="5" s="4" customFormat="1" spans="1:8">
      <c r="A5" s="54">
        <v>2</v>
      </c>
      <c r="B5" s="106" t="s">
        <v>670</v>
      </c>
      <c r="C5" s="57"/>
      <c r="D5" s="107" t="s">
        <v>671</v>
      </c>
      <c r="E5" s="108" t="s">
        <v>692</v>
      </c>
      <c r="F5" s="55" t="s">
        <v>428</v>
      </c>
      <c r="G5" s="109">
        <v>13396.8440671571</v>
      </c>
      <c r="H5" s="109">
        <v>7880.49651009244</v>
      </c>
    </row>
    <row r="6" s="4" customFormat="1" spans="1:8">
      <c r="A6" s="54">
        <v>3</v>
      </c>
      <c r="B6" s="106" t="s">
        <v>693</v>
      </c>
      <c r="C6" s="57"/>
      <c r="D6" s="107" t="s">
        <v>694</v>
      </c>
      <c r="E6" s="108" t="s">
        <v>695</v>
      </c>
      <c r="F6" s="55" t="s">
        <v>428</v>
      </c>
      <c r="G6" s="109">
        <v>6430.77064704773</v>
      </c>
      <c r="H6" s="109">
        <v>3782.80626296925</v>
      </c>
    </row>
    <row r="7" s="4" customFormat="1" spans="1:8">
      <c r="A7" s="54">
        <v>4</v>
      </c>
      <c r="B7" s="106" t="s">
        <v>696</v>
      </c>
      <c r="C7" s="57"/>
      <c r="D7" s="107" t="s">
        <v>694</v>
      </c>
      <c r="E7" s="108" t="s">
        <v>697</v>
      </c>
      <c r="F7" s="55" t="s">
        <v>428</v>
      </c>
      <c r="G7" s="109">
        <v>7722.63467270326</v>
      </c>
      <c r="H7" s="109">
        <v>4542.72627806074</v>
      </c>
    </row>
    <row r="8" s="4" customFormat="1" spans="1:8">
      <c r="A8" s="54">
        <v>5</v>
      </c>
      <c r="B8" s="106" t="s">
        <v>698</v>
      </c>
      <c r="C8" s="57"/>
      <c r="D8" s="107" t="s">
        <v>699</v>
      </c>
      <c r="E8" s="108" t="s">
        <v>700</v>
      </c>
      <c r="F8" s="55" t="s">
        <v>428</v>
      </c>
      <c r="G8" s="109">
        <v>6918.49095139282</v>
      </c>
      <c r="H8" s="109">
        <v>4069.70055964283</v>
      </c>
    </row>
    <row r="9" s="4" customFormat="1" spans="1:8">
      <c r="A9" s="54">
        <v>6</v>
      </c>
      <c r="B9" s="106" t="s">
        <v>701</v>
      </c>
      <c r="C9" s="57"/>
      <c r="D9" s="107" t="s">
        <v>699</v>
      </c>
      <c r="E9" s="108" t="s">
        <v>702</v>
      </c>
      <c r="F9" s="55" t="s">
        <v>428</v>
      </c>
      <c r="G9" s="109">
        <v>7146.88680123247</v>
      </c>
      <c r="H9" s="109">
        <v>4204.05105954851</v>
      </c>
    </row>
    <row r="10" s="4" customFormat="1" spans="1:8">
      <c r="A10" s="54">
        <v>7</v>
      </c>
      <c r="B10" s="106" t="s">
        <v>703</v>
      </c>
      <c r="C10" s="57"/>
      <c r="D10" s="107" t="s">
        <v>699</v>
      </c>
      <c r="E10" s="108" t="s">
        <v>704</v>
      </c>
      <c r="F10" s="55" t="s">
        <v>428</v>
      </c>
      <c r="G10" s="109">
        <v>13606.2069295102</v>
      </c>
      <c r="H10" s="109">
        <v>8003.65113500597</v>
      </c>
    </row>
    <row r="11" s="4" customFormat="1" spans="1:8">
      <c r="A11" s="54">
        <v>8</v>
      </c>
      <c r="B11" s="106" t="s">
        <v>705</v>
      </c>
      <c r="C11" s="57"/>
      <c r="D11" s="107" t="s">
        <v>614</v>
      </c>
      <c r="E11" s="108" t="s">
        <v>706</v>
      </c>
      <c r="F11" s="55" t="s">
        <v>428</v>
      </c>
      <c r="G11" s="109">
        <v>1144.35837263409</v>
      </c>
      <c r="H11" s="109">
        <v>673.151983902408</v>
      </c>
    </row>
    <row r="12" s="4" customFormat="1" ht="31.5" spans="1:8">
      <c r="A12" s="54">
        <v>9</v>
      </c>
      <c r="B12" s="110" t="s">
        <v>707</v>
      </c>
      <c r="C12" s="57"/>
      <c r="D12" s="111" t="s">
        <v>708</v>
      </c>
      <c r="E12" s="59" t="s">
        <v>709</v>
      </c>
      <c r="F12" s="55" t="s">
        <v>428</v>
      </c>
      <c r="G12" s="112">
        <v>12062.1558196567</v>
      </c>
      <c r="H12" s="112">
        <v>7095.38577626863</v>
      </c>
    </row>
    <row r="13" s="4" customFormat="1" spans="1:8">
      <c r="A13" s="54">
        <v>10</v>
      </c>
      <c r="B13" s="106" t="s">
        <v>710</v>
      </c>
      <c r="C13" s="57"/>
      <c r="D13" s="107" t="s">
        <v>711</v>
      </c>
      <c r="E13" s="108" t="s">
        <v>712</v>
      </c>
      <c r="F13" s="55" t="s">
        <v>428</v>
      </c>
      <c r="G13" s="109">
        <v>17838.6675218512</v>
      </c>
      <c r="H13" s="109">
        <v>10493.3338363831</v>
      </c>
    </row>
    <row r="14" s="4" customFormat="1" spans="1:8">
      <c r="A14" s="54">
        <v>11</v>
      </c>
      <c r="B14" s="106" t="s">
        <v>713</v>
      </c>
      <c r="C14" s="57"/>
      <c r="D14" s="107" t="s">
        <v>678</v>
      </c>
      <c r="E14" s="108" t="s">
        <v>714</v>
      </c>
      <c r="F14" s="55" t="s">
        <v>428</v>
      </c>
      <c r="G14" s="112">
        <v>2612.27753254103</v>
      </c>
      <c r="H14" s="112">
        <v>1536.63384267119</v>
      </c>
    </row>
    <row r="15" s="4" customFormat="1" spans="1:8">
      <c r="A15" s="54">
        <v>12</v>
      </c>
      <c r="B15" s="106" t="s">
        <v>715</v>
      </c>
      <c r="C15" s="57"/>
      <c r="D15" s="107" t="s">
        <v>678</v>
      </c>
      <c r="E15" s="108" t="s">
        <v>716</v>
      </c>
      <c r="F15" s="55" t="s">
        <v>428</v>
      </c>
      <c r="G15" s="112">
        <v>1843.82066276803</v>
      </c>
      <c r="H15" s="112">
        <v>1084.60038986355</v>
      </c>
    </row>
    <row r="16" s="4" customFormat="1" spans="1:8">
      <c r="A16" s="54">
        <v>13</v>
      </c>
      <c r="B16" s="106" t="s">
        <v>717</v>
      </c>
      <c r="C16" s="57"/>
      <c r="D16" s="107" t="s">
        <v>678</v>
      </c>
      <c r="E16" s="108" t="s">
        <v>718</v>
      </c>
      <c r="F16" s="55" t="s">
        <v>428</v>
      </c>
      <c r="G16" s="112">
        <v>2843.05250581651</v>
      </c>
      <c r="H16" s="112">
        <v>1672.38382695089</v>
      </c>
    </row>
    <row r="17" s="4" customFormat="1" spans="1:8">
      <c r="A17" s="54">
        <v>14</v>
      </c>
      <c r="B17" s="113" t="s">
        <v>719</v>
      </c>
      <c r="C17" s="57"/>
      <c r="D17" s="107" t="s">
        <v>678</v>
      </c>
      <c r="E17" s="114" t="s">
        <v>720</v>
      </c>
      <c r="F17" s="115" t="s">
        <v>393</v>
      </c>
      <c r="G17" s="60">
        <v>5930.67890083632</v>
      </c>
      <c r="H17" s="60">
        <v>3488.63464755078</v>
      </c>
    </row>
    <row r="18" s="4" customFormat="1" spans="1:8">
      <c r="A18" s="54">
        <v>15</v>
      </c>
      <c r="B18" s="113" t="s">
        <v>721</v>
      </c>
      <c r="C18" s="57"/>
      <c r="D18" s="107" t="s">
        <v>678</v>
      </c>
      <c r="E18" s="62" t="s">
        <v>720</v>
      </c>
      <c r="F18" s="55" t="s">
        <v>428</v>
      </c>
      <c r="G18" s="60">
        <v>4259.96325925926</v>
      </c>
      <c r="H18" s="60">
        <v>2505.86074074074</v>
      </c>
    </row>
    <row r="19" s="4" customFormat="1" spans="1:8">
      <c r="A19" s="54">
        <v>16</v>
      </c>
      <c r="B19" s="113" t="s">
        <v>722</v>
      </c>
      <c r="C19" s="57"/>
      <c r="D19" s="107" t="s">
        <v>678</v>
      </c>
      <c r="E19" s="62" t="s">
        <v>720</v>
      </c>
      <c r="F19" s="59" t="s">
        <v>723</v>
      </c>
      <c r="G19" s="60">
        <v>5511.19185663082</v>
      </c>
      <c r="H19" s="60">
        <v>3241.87756272401</v>
      </c>
    </row>
    <row r="20" s="4" customFormat="1" spans="1:8">
      <c r="A20" s="54">
        <v>17</v>
      </c>
      <c r="B20" s="113" t="s">
        <v>724</v>
      </c>
      <c r="C20" s="57"/>
      <c r="D20" s="107" t="s">
        <v>678</v>
      </c>
      <c r="E20" s="62" t="s">
        <v>720</v>
      </c>
      <c r="F20" s="59" t="s">
        <v>725</v>
      </c>
      <c r="G20" s="60">
        <v>3307.07674074074</v>
      </c>
      <c r="H20" s="60">
        <v>1945.33925925926</v>
      </c>
    </row>
    <row r="21" s="4" customFormat="1" spans="1:8">
      <c r="A21" s="54"/>
      <c r="B21" s="113"/>
      <c r="C21" s="57"/>
      <c r="D21" s="107"/>
      <c r="E21" s="62"/>
      <c r="F21" s="59"/>
      <c r="G21" s="60" t="s">
        <v>726</v>
      </c>
      <c r="H21" s="60" t="s">
        <v>726</v>
      </c>
    </row>
    <row r="22" s="4" customFormat="1" spans="1:8">
      <c r="A22" s="54">
        <v>18</v>
      </c>
      <c r="B22" s="113" t="s">
        <v>727</v>
      </c>
      <c r="C22" s="57"/>
      <c r="D22" s="107" t="s">
        <v>728</v>
      </c>
      <c r="E22" s="62" t="s">
        <v>729</v>
      </c>
      <c r="F22" s="59" t="s">
        <v>725</v>
      </c>
      <c r="G22" s="60">
        <v>16864.4640573477</v>
      </c>
      <c r="H22" s="60">
        <v>9920.27297491039</v>
      </c>
    </row>
    <row r="23" s="4" customFormat="1" ht="31" customHeight="1" spans="1:8">
      <c r="A23" s="54">
        <v>19</v>
      </c>
      <c r="B23" s="113" t="s">
        <v>730</v>
      </c>
      <c r="C23" s="57"/>
      <c r="D23" s="107" t="s">
        <v>731</v>
      </c>
      <c r="E23" s="62" t="s">
        <v>720</v>
      </c>
      <c r="F23" s="59" t="s">
        <v>732</v>
      </c>
      <c r="G23" s="60">
        <v>4619.78188769415</v>
      </c>
      <c r="H23" s="60">
        <v>2717.51875746714</v>
      </c>
    </row>
    <row r="24" s="4" customFormat="1" spans="1:8">
      <c r="A24" s="54">
        <v>20</v>
      </c>
      <c r="B24" s="113" t="s">
        <v>733</v>
      </c>
      <c r="C24" s="57"/>
      <c r="D24" s="107" t="s">
        <v>734</v>
      </c>
      <c r="E24" s="62" t="s">
        <v>720</v>
      </c>
      <c r="F24" s="59" t="s">
        <v>732</v>
      </c>
      <c r="G24" s="60">
        <v>3495.12265710872</v>
      </c>
      <c r="H24" s="60">
        <v>2055.9545041816</v>
      </c>
    </row>
    <row r="25" s="4" customFormat="1" ht="26" customHeight="1" spans="1:8">
      <c r="A25" s="54">
        <v>21</v>
      </c>
      <c r="B25" s="116" t="s">
        <v>735</v>
      </c>
      <c r="C25" s="57"/>
      <c r="D25" s="107" t="s">
        <v>678</v>
      </c>
      <c r="E25" s="59" t="s">
        <v>736</v>
      </c>
      <c r="F25" s="59" t="s">
        <v>737</v>
      </c>
      <c r="G25" s="60">
        <v>8480.14757467144</v>
      </c>
      <c r="H25" s="60">
        <v>4988.32210274791</v>
      </c>
    </row>
    <row r="26" s="4" customFormat="1" ht="32.25" customHeight="1" spans="1:8">
      <c r="A26" s="54">
        <v>22</v>
      </c>
      <c r="B26" s="113" t="s">
        <v>738</v>
      </c>
      <c r="C26" s="57"/>
      <c r="D26" s="107" t="s">
        <v>678</v>
      </c>
      <c r="E26" s="62" t="s">
        <v>739</v>
      </c>
      <c r="F26" s="62" t="s">
        <v>740</v>
      </c>
      <c r="G26" s="60">
        <v>5418.97703225807</v>
      </c>
      <c r="H26" s="60">
        <v>3187.6335483871</v>
      </c>
    </row>
    <row r="27" s="4" customFormat="1" ht="32.25" customHeight="1" spans="1:8">
      <c r="A27" s="54">
        <v>23</v>
      </c>
      <c r="B27" s="113" t="s">
        <v>741</v>
      </c>
      <c r="C27" s="57"/>
      <c r="D27" s="107" t="s">
        <v>678</v>
      </c>
      <c r="E27" s="59" t="s">
        <v>742</v>
      </c>
      <c r="F27" s="59" t="s">
        <v>743</v>
      </c>
      <c r="G27" s="60">
        <v>7984.04086021505</v>
      </c>
      <c r="H27" s="60">
        <v>4696.49462365591</v>
      </c>
    </row>
    <row r="28" s="4" customFormat="1" ht="32.25" customHeight="1" spans="1:8">
      <c r="A28" s="54">
        <v>24</v>
      </c>
      <c r="B28" s="113" t="s">
        <v>744</v>
      </c>
      <c r="C28" s="57"/>
      <c r="D28" s="107" t="s">
        <v>678</v>
      </c>
      <c r="E28" s="62" t="s">
        <v>745</v>
      </c>
      <c r="F28" s="59" t="s">
        <v>746</v>
      </c>
      <c r="G28" s="60">
        <v>6539.79397849462</v>
      </c>
      <c r="H28" s="60">
        <v>3846.9376344086</v>
      </c>
    </row>
    <row r="29" s="4" customFormat="1" ht="32.25" customHeight="1" spans="1:8">
      <c r="A29" s="54">
        <v>25</v>
      </c>
      <c r="B29" s="113" t="s">
        <v>747</v>
      </c>
      <c r="C29" s="57"/>
      <c r="D29" s="107" t="s">
        <v>678</v>
      </c>
      <c r="E29" s="59" t="s">
        <v>748</v>
      </c>
      <c r="F29" s="59">
        <v>992</v>
      </c>
      <c r="G29" s="60">
        <v>9298.10210752688</v>
      </c>
      <c r="H29" s="60">
        <v>5469.47182795699</v>
      </c>
    </row>
    <row r="30" s="4" customFormat="1" ht="32.25" customHeight="1" spans="1:8">
      <c r="A30" s="54">
        <v>26</v>
      </c>
      <c r="B30" s="113" t="s">
        <v>749</v>
      </c>
      <c r="C30" s="57"/>
      <c r="D30" s="107" t="s">
        <v>750</v>
      </c>
      <c r="E30" s="59" t="s">
        <v>751</v>
      </c>
      <c r="F30" s="59" t="s">
        <v>752</v>
      </c>
      <c r="G30" s="60">
        <v>3986.93505376344</v>
      </c>
      <c r="H30" s="60">
        <v>2345.25591397849</v>
      </c>
    </row>
    <row r="31" s="4" customFormat="1" ht="32.25" customHeight="1" spans="1:8">
      <c r="A31" s="54">
        <v>27</v>
      </c>
      <c r="B31" s="113" t="s">
        <v>753</v>
      </c>
      <c r="C31" s="57"/>
      <c r="D31" s="107" t="s">
        <v>678</v>
      </c>
      <c r="E31" s="59" t="s">
        <v>754</v>
      </c>
      <c r="F31" s="117" t="s">
        <v>755</v>
      </c>
      <c r="G31" s="60">
        <v>6043.46124731183</v>
      </c>
      <c r="H31" s="60">
        <v>3554.97720430108</v>
      </c>
    </row>
    <row r="32" s="4" customFormat="1" ht="32.25" customHeight="1" spans="1:8">
      <c r="A32" s="54">
        <v>28</v>
      </c>
      <c r="B32" s="113" t="s">
        <v>756</v>
      </c>
      <c r="C32" s="57"/>
      <c r="D32" s="107" t="s">
        <v>678</v>
      </c>
      <c r="E32" s="59" t="s">
        <v>757</v>
      </c>
      <c r="F32" s="117" t="s">
        <v>755</v>
      </c>
      <c r="G32" s="60">
        <v>6533.69152688172</v>
      </c>
      <c r="H32" s="60">
        <v>3843.34795698925</v>
      </c>
    </row>
    <row r="33" s="4" customFormat="1" ht="37" customHeight="1" spans="1:8">
      <c r="A33" s="54">
        <v>29</v>
      </c>
      <c r="B33" s="113" t="s">
        <v>758</v>
      </c>
      <c r="C33" s="57"/>
      <c r="D33" s="107" t="s">
        <v>678</v>
      </c>
      <c r="E33" s="59" t="s">
        <v>759</v>
      </c>
      <c r="F33" s="117" t="s">
        <v>760</v>
      </c>
      <c r="G33" s="60">
        <v>6006.84653763441</v>
      </c>
      <c r="H33" s="60">
        <v>3533.43913978495</v>
      </c>
    </row>
    <row r="34" s="4" customFormat="1" ht="37" customHeight="1" spans="1:8">
      <c r="A34" s="54">
        <v>30</v>
      </c>
      <c r="B34" s="113" t="s">
        <v>761</v>
      </c>
      <c r="C34" s="57"/>
      <c r="D34" s="107" t="s">
        <v>678</v>
      </c>
      <c r="E34" s="59" t="s">
        <v>759</v>
      </c>
      <c r="F34" s="117" t="s">
        <v>762</v>
      </c>
      <c r="G34" s="60">
        <v>7312.7711827957</v>
      </c>
      <c r="H34" s="60">
        <v>4301.63010752688</v>
      </c>
    </row>
    <row r="35" s="4" customFormat="1" ht="28" customHeight="1" spans="1:8">
      <c r="A35" s="54">
        <v>31</v>
      </c>
      <c r="B35" s="113" t="s">
        <v>763</v>
      </c>
      <c r="C35" s="57"/>
      <c r="D35" s="107" t="s">
        <v>678</v>
      </c>
      <c r="E35" s="59" t="s">
        <v>757</v>
      </c>
      <c r="F35" s="117" t="s">
        <v>764</v>
      </c>
      <c r="G35" s="60">
        <v>10612.1633548387</v>
      </c>
      <c r="H35" s="60">
        <v>6242.44903225806</v>
      </c>
    </row>
    <row r="36" s="4" customFormat="1" ht="37" customHeight="1" spans="1:8">
      <c r="A36" s="54">
        <v>32</v>
      </c>
      <c r="B36" s="113" t="s">
        <v>765</v>
      </c>
      <c r="C36" s="57"/>
      <c r="D36" s="107" t="s">
        <v>678</v>
      </c>
      <c r="E36" s="59" t="s">
        <v>766</v>
      </c>
      <c r="F36" s="117" t="s">
        <v>764</v>
      </c>
      <c r="G36" s="60">
        <v>7444.99096774194</v>
      </c>
      <c r="H36" s="60">
        <v>4379.4064516129</v>
      </c>
    </row>
    <row r="37" s="86" customFormat="1" ht="46" customHeight="1" spans="1:8">
      <c r="A37" s="40">
        <v>33</v>
      </c>
      <c r="B37" s="113" t="s">
        <v>767</v>
      </c>
      <c r="C37" s="118"/>
      <c r="D37" s="119" t="s">
        <v>768</v>
      </c>
      <c r="E37" s="59" t="s">
        <v>769</v>
      </c>
      <c r="F37" s="117" t="s">
        <v>576</v>
      </c>
      <c r="G37" s="60">
        <v>5547.12851612903</v>
      </c>
      <c r="H37" s="60">
        <v>3263.01677419355</v>
      </c>
    </row>
    <row r="38" s="4" customFormat="1" ht="38" customHeight="1" spans="1:8">
      <c r="A38" s="54">
        <v>34</v>
      </c>
      <c r="B38" s="113" t="s">
        <v>770</v>
      </c>
      <c r="C38" s="57"/>
      <c r="D38" s="119" t="s">
        <v>768</v>
      </c>
      <c r="E38" s="59" t="s">
        <v>771</v>
      </c>
      <c r="F38" s="117" t="s">
        <v>772</v>
      </c>
      <c r="G38" s="60">
        <v>8950.2623655914</v>
      </c>
      <c r="H38" s="60">
        <v>5264.86021505376</v>
      </c>
    </row>
    <row r="39" s="4" customFormat="1" ht="48" customHeight="1" spans="1:8">
      <c r="A39" s="40">
        <v>33</v>
      </c>
      <c r="B39" s="113" t="s">
        <v>773</v>
      </c>
      <c r="C39" s="57"/>
      <c r="D39" s="119" t="s">
        <v>768</v>
      </c>
      <c r="E39" s="59" t="s">
        <v>774</v>
      </c>
      <c r="F39" s="117" t="s">
        <v>762</v>
      </c>
      <c r="G39" s="60">
        <v>8907.54520430108</v>
      </c>
      <c r="H39" s="60">
        <v>5239.73247311828</v>
      </c>
    </row>
    <row r="40" s="4" customFormat="1" ht="40" customHeight="1" spans="1:8">
      <c r="A40" s="54">
        <v>34</v>
      </c>
      <c r="B40" s="113" t="s">
        <v>775</v>
      </c>
      <c r="C40" s="57"/>
      <c r="D40" s="119" t="s">
        <v>678</v>
      </c>
      <c r="E40" s="59" t="s">
        <v>776</v>
      </c>
      <c r="F40" s="117" t="s">
        <v>777</v>
      </c>
      <c r="G40" s="60">
        <v>13972.5800430108</v>
      </c>
      <c r="H40" s="60">
        <v>8219.1647311828</v>
      </c>
    </row>
  </sheetData>
  <mergeCells count="1">
    <mergeCell ref="A1:I1"/>
  </mergeCell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46"/>
  <sheetViews>
    <sheetView workbookViewId="0">
      <selection activeCell="A2" sqref="$A1:$XFD2"/>
    </sheetView>
  </sheetViews>
  <sheetFormatPr defaultColWidth="9.14285714285714" defaultRowHeight="12.75"/>
  <cols>
    <col min="1" max="1" width="5.42857142857143" style="45" customWidth="1"/>
    <col min="2" max="2" width="20" style="45" customWidth="1"/>
    <col min="3" max="3" width="41.7142857142857" style="46" customWidth="1"/>
    <col min="4" max="4" width="16.552380952381" style="45" customWidth="1"/>
    <col min="5" max="5" width="25.4285714285714" style="47" customWidth="1"/>
    <col min="6" max="6" width="28.2857142857143" style="47" customWidth="1"/>
    <col min="7" max="7" width="12.4285714285714" style="48" customWidth="1"/>
    <col min="8" max="9" width="9.14285714285714" style="48"/>
    <col min="10" max="16380" width="9.14285714285714" style="4"/>
  </cols>
  <sheetData>
    <row r="1" s="44" customFormat="1" ht="14.25" spans="1:248">
      <c r="A1" s="49" t="s">
        <v>0</v>
      </c>
      <c r="B1" s="50" t="s">
        <v>569</v>
      </c>
      <c r="C1" s="49" t="s">
        <v>2</v>
      </c>
      <c r="D1" s="50" t="s">
        <v>3</v>
      </c>
      <c r="E1" s="51" t="s">
        <v>570</v>
      </c>
      <c r="F1" s="52" t="s">
        <v>5</v>
      </c>
      <c r="G1" s="53" t="s">
        <v>6</v>
      </c>
      <c r="H1" s="51" t="s">
        <v>689</v>
      </c>
      <c r="I1" s="85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86"/>
      <c r="FW1" s="86"/>
      <c r="FX1" s="86"/>
      <c r="FY1" s="86"/>
      <c r="FZ1" s="86"/>
      <c r="GA1" s="86"/>
      <c r="GB1" s="86"/>
      <c r="GC1" s="86"/>
      <c r="GD1" s="86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</row>
    <row r="2" s="4" customFormat="1" ht="32.75" customHeight="1" spans="1:9">
      <c r="A2" s="54"/>
      <c r="B2" s="55" t="s">
        <v>778</v>
      </c>
      <c r="C2" s="56" t="s">
        <v>779</v>
      </c>
      <c r="D2" s="57"/>
      <c r="E2" s="58" t="s">
        <v>780</v>
      </c>
      <c r="F2" s="59" t="s">
        <v>781</v>
      </c>
      <c r="G2" s="60">
        <f>H2*1.7</f>
        <v>8434.26666666666</v>
      </c>
      <c r="H2" s="38">
        <v>4961.33333333333</v>
      </c>
      <c r="I2" s="48"/>
    </row>
    <row r="3" s="4" customFormat="1" ht="32.75" customHeight="1" spans="1:9">
      <c r="A3" s="54"/>
      <c r="B3" s="55" t="s">
        <v>782</v>
      </c>
      <c r="C3" s="56" t="s">
        <v>779</v>
      </c>
      <c r="D3" s="57"/>
      <c r="E3" s="58" t="s">
        <v>783</v>
      </c>
      <c r="F3" s="59" t="s">
        <v>643</v>
      </c>
      <c r="G3" s="60">
        <f t="shared" ref="G3:G46" si="0">H3*1.7</f>
        <v>6042.93333333334</v>
      </c>
      <c r="H3" s="38">
        <v>3554.66666666667</v>
      </c>
      <c r="I3" s="48"/>
    </row>
    <row r="4" s="4" customFormat="1" ht="19" customHeight="1" spans="1:9">
      <c r="A4" s="54"/>
      <c r="B4" s="55" t="s">
        <v>784</v>
      </c>
      <c r="C4" s="56" t="s">
        <v>779</v>
      </c>
      <c r="D4" s="57"/>
      <c r="E4" s="61" t="s">
        <v>785</v>
      </c>
      <c r="F4" s="62" t="s">
        <v>428</v>
      </c>
      <c r="G4" s="60">
        <f t="shared" si="0"/>
        <v>7840.4</v>
      </c>
      <c r="H4" s="38">
        <v>4612</v>
      </c>
      <c r="I4" s="48"/>
    </row>
    <row r="5" s="4" customFormat="1" ht="15.75" spans="1:9">
      <c r="A5" s="54"/>
      <c r="B5" s="55" t="s">
        <v>786</v>
      </c>
      <c r="C5" s="56" t="s">
        <v>779</v>
      </c>
      <c r="D5" s="57"/>
      <c r="E5" s="58" t="s">
        <v>787</v>
      </c>
      <c r="F5" s="59" t="s">
        <v>428</v>
      </c>
      <c r="G5" s="60">
        <f t="shared" si="0"/>
        <v>7418.8</v>
      </c>
      <c r="H5" s="38">
        <v>4364</v>
      </c>
      <c r="I5" s="48"/>
    </row>
    <row r="6" ht="15.75" spans="1:8">
      <c r="A6" s="63"/>
      <c r="B6" s="55" t="s">
        <v>788</v>
      </c>
      <c r="C6" s="64" t="s">
        <v>789</v>
      </c>
      <c r="D6" s="63"/>
      <c r="E6" s="65" t="s">
        <v>790</v>
      </c>
      <c r="F6" s="59" t="s">
        <v>636</v>
      </c>
      <c r="G6" s="60">
        <f t="shared" si="0"/>
        <v>6863.46666666666</v>
      </c>
      <c r="H6" s="66">
        <v>4037.33333333333</v>
      </c>
    </row>
    <row r="7" ht="15.75" spans="1:8">
      <c r="A7" s="63"/>
      <c r="B7" s="55" t="s">
        <v>791</v>
      </c>
      <c r="C7" s="64" t="s">
        <v>789</v>
      </c>
      <c r="D7" s="63"/>
      <c r="E7" s="67" t="s">
        <v>792</v>
      </c>
      <c r="F7" s="59" t="s">
        <v>636</v>
      </c>
      <c r="G7" s="60">
        <f t="shared" si="0"/>
        <v>8237.06666666666</v>
      </c>
      <c r="H7" s="66">
        <v>4845.33333333333</v>
      </c>
    </row>
    <row r="8" ht="15.75" spans="1:8">
      <c r="A8" s="63"/>
      <c r="B8" s="68" t="s">
        <v>793</v>
      </c>
      <c r="C8" s="68" t="s">
        <v>794</v>
      </c>
      <c r="D8" s="63"/>
      <c r="E8" s="69" t="s">
        <v>795</v>
      </c>
      <c r="F8" s="70" t="s">
        <v>428</v>
      </c>
      <c r="G8" s="60">
        <f t="shared" si="0"/>
        <v>15719.3333333333</v>
      </c>
      <c r="H8" s="71">
        <v>9246.66666666667</v>
      </c>
    </row>
    <row r="9" ht="15.75" spans="1:8">
      <c r="A9" s="63"/>
      <c r="B9" s="68" t="s">
        <v>796</v>
      </c>
      <c r="C9" s="68" t="s">
        <v>794</v>
      </c>
      <c r="D9" s="63"/>
      <c r="E9" s="69" t="s">
        <v>797</v>
      </c>
      <c r="F9" s="70" t="s">
        <v>428</v>
      </c>
      <c r="G9" s="60">
        <f t="shared" si="0"/>
        <v>16011.7333333333</v>
      </c>
      <c r="H9" s="71">
        <v>9418.66666666667</v>
      </c>
    </row>
    <row r="10" ht="15.75" spans="1:8">
      <c r="A10" s="63"/>
      <c r="B10" s="68" t="s">
        <v>798</v>
      </c>
      <c r="C10" s="68" t="s">
        <v>794</v>
      </c>
      <c r="D10" s="63"/>
      <c r="E10" s="69" t="s">
        <v>799</v>
      </c>
      <c r="F10" s="70" t="s">
        <v>428</v>
      </c>
      <c r="G10" s="60">
        <f t="shared" si="0"/>
        <v>18212.6666666666</v>
      </c>
      <c r="H10" s="71">
        <v>10713.3333333333</v>
      </c>
    </row>
    <row r="11" ht="15.75" spans="1:8">
      <c r="A11" s="63"/>
      <c r="B11" s="68" t="s">
        <v>800</v>
      </c>
      <c r="C11" s="68" t="s">
        <v>794</v>
      </c>
      <c r="D11" s="63"/>
      <c r="E11" s="69" t="s">
        <v>799</v>
      </c>
      <c r="F11" s="70" t="s">
        <v>428</v>
      </c>
      <c r="G11" s="60">
        <f t="shared" si="0"/>
        <v>19504.6666666666</v>
      </c>
      <c r="H11" s="71">
        <v>11473.3333333333</v>
      </c>
    </row>
    <row r="12" ht="15.75" spans="1:8">
      <c r="A12" s="63"/>
      <c r="B12" s="68" t="s">
        <v>801</v>
      </c>
      <c r="C12" s="68" t="s">
        <v>794</v>
      </c>
      <c r="D12" s="63"/>
      <c r="E12" s="69" t="s">
        <v>799</v>
      </c>
      <c r="F12" s="70" t="s">
        <v>428</v>
      </c>
      <c r="G12" s="60">
        <f t="shared" si="0"/>
        <v>13430</v>
      </c>
      <c r="H12" s="71">
        <v>7900</v>
      </c>
    </row>
    <row r="13" ht="15.75" spans="1:8">
      <c r="A13" s="63"/>
      <c r="B13" s="68" t="s">
        <v>802</v>
      </c>
      <c r="C13" s="68" t="s">
        <v>794</v>
      </c>
      <c r="D13" s="63"/>
      <c r="E13" s="69" t="s">
        <v>803</v>
      </c>
      <c r="F13" s="70" t="s">
        <v>428</v>
      </c>
      <c r="G13" s="60">
        <f t="shared" si="0"/>
        <v>18126.5333333334</v>
      </c>
      <c r="H13" s="71">
        <v>10662.6666666667</v>
      </c>
    </row>
    <row r="14" ht="15.75" spans="1:8">
      <c r="A14" s="63"/>
      <c r="B14" s="68" t="s">
        <v>804</v>
      </c>
      <c r="C14" s="68" t="s">
        <v>805</v>
      </c>
      <c r="D14" s="63"/>
      <c r="E14" s="69" t="s">
        <v>806</v>
      </c>
      <c r="F14" s="70" t="s">
        <v>428</v>
      </c>
      <c r="G14" s="60">
        <f t="shared" si="0"/>
        <v>17083.8666666666</v>
      </c>
      <c r="H14" s="71">
        <v>10049.3333333333</v>
      </c>
    </row>
    <row r="15" ht="15.75" spans="1:8">
      <c r="A15" s="63"/>
      <c r="B15" s="68" t="s">
        <v>807</v>
      </c>
      <c r="C15" s="68" t="s">
        <v>808</v>
      </c>
      <c r="D15" s="63"/>
      <c r="E15" s="69" t="s">
        <v>809</v>
      </c>
      <c r="F15" s="70" t="s">
        <v>428</v>
      </c>
      <c r="G15" s="60">
        <f t="shared" si="0"/>
        <v>13683.8666666667</v>
      </c>
      <c r="H15" s="71">
        <v>8049.33333333333</v>
      </c>
    </row>
    <row r="16" ht="15.75" spans="1:8">
      <c r="A16" s="63"/>
      <c r="B16" s="68" t="s">
        <v>810</v>
      </c>
      <c r="C16" s="68" t="s">
        <v>808</v>
      </c>
      <c r="D16" s="63"/>
      <c r="E16" s="69" t="s">
        <v>811</v>
      </c>
      <c r="F16" s="70" t="s">
        <v>428</v>
      </c>
      <c r="G16" s="60">
        <f t="shared" si="0"/>
        <v>16376.6666666667</v>
      </c>
      <c r="H16" s="71">
        <v>9633.33333333333</v>
      </c>
    </row>
    <row r="17" ht="15.75" spans="1:8">
      <c r="A17" s="63"/>
      <c r="B17" s="68" t="s">
        <v>812</v>
      </c>
      <c r="C17" s="68" t="s">
        <v>808</v>
      </c>
      <c r="D17" s="63"/>
      <c r="E17" s="69" t="s">
        <v>811</v>
      </c>
      <c r="F17" s="70" t="s">
        <v>428</v>
      </c>
      <c r="G17" s="60">
        <f t="shared" si="0"/>
        <v>19404.9333333334</v>
      </c>
      <c r="H17" s="71">
        <v>11414.6666666667</v>
      </c>
    </row>
    <row r="18" ht="15.75" spans="1:8">
      <c r="A18" s="63"/>
      <c r="B18" s="68" t="s">
        <v>813</v>
      </c>
      <c r="C18" s="72" t="s">
        <v>814</v>
      </c>
      <c r="D18" s="63"/>
      <c r="E18" s="69" t="s">
        <v>815</v>
      </c>
      <c r="F18" s="70" t="s">
        <v>428</v>
      </c>
      <c r="G18" s="60">
        <f t="shared" si="0"/>
        <v>12555.0666666667</v>
      </c>
      <c r="H18" s="71">
        <v>7385.33333333333</v>
      </c>
    </row>
    <row r="19" ht="25.5" spans="1:8">
      <c r="A19" s="63"/>
      <c r="B19" s="68" t="s">
        <v>816</v>
      </c>
      <c r="C19" s="73" t="s">
        <v>817</v>
      </c>
      <c r="D19" s="63"/>
      <c r="E19" s="69" t="s">
        <v>815</v>
      </c>
      <c r="F19" s="70" t="s">
        <v>428</v>
      </c>
      <c r="G19" s="60">
        <f t="shared" si="0"/>
        <v>15256.9333333333</v>
      </c>
      <c r="H19" s="71">
        <v>8974.66666666667</v>
      </c>
    </row>
    <row r="20" ht="15.75" spans="1:8">
      <c r="A20" s="63"/>
      <c r="B20" s="68" t="s">
        <v>818</v>
      </c>
      <c r="C20" s="68" t="s">
        <v>819</v>
      </c>
      <c r="D20" s="63"/>
      <c r="E20" s="69" t="s">
        <v>820</v>
      </c>
      <c r="F20" s="70" t="s">
        <v>428</v>
      </c>
      <c r="G20" s="60">
        <f t="shared" si="0"/>
        <v>21458.5333333334</v>
      </c>
      <c r="H20" s="71">
        <v>12622.6666666667</v>
      </c>
    </row>
    <row r="21" ht="15.75" spans="1:8">
      <c r="A21" s="63"/>
      <c r="B21" s="68" t="s">
        <v>821</v>
      </c>
      <c r="C21" s="68" t="s">
        <v>822</v>
      </c>
      <c r="D21" s="63"/>
      <c r="E21" s="69" t="s">
        <v>823</v>
      </c>
      <c r="F21" s="70" t="s">
        <v>428</v>
      </c>
      <c r="G21" s="60">
        <f t="shared" si="0"/>
        <v>21497.0666666666</v>
      </c>
      <c r="H21" s="71">
        <v>12645.3333333333</v>
      </c>
    </row>
    <row r="22" ht="15.75" spans="1:8">
      <c r="A22" s="63"/>
      <c r="B22" s="68" t="s">
        <v>824</v>
      </c>
      <c r="C22" s="68" t="s">
        <v>819</v>
      </c>
      <c r="D22" s="63"/>
      <c r="E22" s="69" t="s">
        <v>820</v>
      </c>
      <c r="F22" s="70" t="s">
        <v>428</v>
      </c>
      <c r="G22" s="60">
        <f t="shared" si="0"/>
        <v>21596.8</v>
      </c>
      <c r="H22" s="71">
        <v>12704</v>
      </c>
    </row>
    <row r="23" ht="15.75" spans="1:8">
      <c r="A23" s="63"/>
      <c r="B23" s="68" t="s">
        <v>825</v>
      </c>
      <c r="C23" s="68" t="s">
        <v>822</v>
      </c>
      <c r="D23" s="63"/>
      <c r="E23" s="69" t="s">
        <v>823</v>
      </c>
      <c r="F23" s="70" t="s">
        <v>428</v>
      </c>
      <c r="G23" s="60">
        <f t="shared" si="0"/>
        <v>22709.7333333334</v>
      </c>
      <c r="H23" s="71">
        <v>13358.6666666667</v>
      </c>
    </row>
    <row r="24" ht="15.75" spans="1:8">
      <c r="A24" s="63"/>
      <c r="B24" s="68" t="s">
        <v>826</v>
      </c>
      <c r="C24" s="68" t="s">
        <v>827</v>
      </c>
      <c r="D24" s="63"/>
      <c r="E24" s="69" t="s">
        <v>828</v>
      </c>
      <c r="F24" s="70" t="s">
        <v>428</v>
      </c>
      <c r="G24" s="60">
        <f t="shared" si="0"/>
        <v>26046.2666666666</v>
      </c>
      <c r="H24" s="74">
        <v>15321.3333333333</v>
      </c>
    </row>
    <row r="25" ht="15.75" spans="1:8">
      <c r="A25" s="63"/>
      <c r="B25" s="68" t="s">
        <v>829</v>
      </c>
      <c r="C25" s="72" t="s">
        <v>830</v>
      </c>
      <c r="D25" s="63"/>
      <c r="E25" s="69" t="s">
        <v>831</v>
      </c>
      <c r="F25" s="70" t="s">
        <v>428</v>
      </c>
      <c r="G25" s="60">
        <f t="shared" si="0"/>
        <v>23219.7333333334</v>
      </c>
      <c r="H25" s="71">
        <v>13658.6666666667</v>
      </c>
    </row>
    <row r="26" ht="15.75" spans="1:8">
      <c r="A26" s="63"/>
      <c r="B26" s="68" t="s">
        <v>832</v>
      </c>
      <c r="C26" s="68" t="s">
        <v>833</v>
      </c>
      <c r="D26" s="63"/>
      <c r="E26" s="69" t="s">
        <v>834</v>
      </c>
      <c r="F26" s="70" t="s">
        <v>428</v>
      </c>
      <c r="G26" s="60">
        <f t="shared" si="0"/>
        <v>14780.9333333333</v>
      </c>
      <c r="H26" s="71">
        <v>8694.66666666667</v>
      </c>
    </row>
    <row r="27" ht="15.75" spans="1:8">
      <c r="A27" s="63"/>
      <c r="B27" s="68" t="s">
        <v>835</v>
      </c>
      <c r="C27" s="68" t="s">
        <v>833</v>
      </c>
      <c r="D27" s="63"/>
      <c r="E27" s="69" t="s">
        <v>836</v>
      </c>
      <c r="F27" s="70" t="s">
        <v>428</v>
      </c>
      <c r="G27" s="60">
        <f t="shared" si="0"/>
        <v>19538.6666666666</v>
      </c>
      <c r="H27" s="71">
        <v>11493.3333333333</v>
      </c>
    </row>
    <row r="28" ht="15.75" spans="1:8">
      <c r="A28" s="63"/>
      <c r="B28" s="68" t="s">
        <v>837</v>
      </c>
      <c r="C28" s="68" t="s">
        <v>789</v>
      </c>
      <c r="D28" s="63"/>
      <c r="E28" s="69" t="s">
        <v>838</v>
      </c>
      <c r="F28" s="70" t="s">
        <v>428</v>
      </c>
      <c r="G28" s="60">
        <f t="shared" si="0"/>
        <v>15664.9333333333</v>
      </c>
      <c r="H28" s="71">
        <v>9214.66666666667</v>
      </c>
    </row>
    <row r="29" ht="15.75" spans="1:8">
      <c r="A29" s="63"/>
      <c r="B29" s="68" t="s">
        <v>839</v>
      </c>
      <c r="C29" s="68" t="s">
        <v>789</v>
      </c>
      <c r="D29" s="63"/>
      <c r="E29" s="69" t="s">
        <v>840</v>
      </c>
      <c r="F29" s="70" t="s">
        <v>428</v>
      </c>
      <c r="G29" s="60">
        <f t="shared" si="0"/>
        <v>10435.7333333333</v>
      </c>
      <c r="H29" s="71">
        <v>6138.66666666667</v>
      </c>
    </row>
    <row r="30" ht="15.75" spans="1:8">
      <c r="A30" s="63"/>
      <c r="B30" s="68" t="s">
        <v>841</v>
      </c>
      <c r="C30" s="68" t="s">
        <v>789</v>
      </c>
      <c r="D30" s="63"/>
      <c r="E30" s="69" t="s">
        <v>842</v>
      </c>
      <c r="F30" s="70" t="s">
        <v>428</v>
      </c>
      <c r="G30" s="60">
        <f t="shared" si="0"/>
        <v>15334</v>
      </c>
      <c r="H30" s="71">
        <v>9020</v>
      </c>
    </row>
    <row r="31" ht="15.75" spans="1:8">
      <c r="A31" s="63"/>
      <c r="B31" s="68" t="s">
        <v>843</v>
      </c>
      <c r="C31" s="68" t="s">
        <v>789</v>
      </c>
      <c r="D31" s="63"/>
      <c r="E31" s="69" t="s">
        <v>844</v>
      </c>
      <c r="F31" s="70" t="s">
        <v>428</v>
      </c>
      <c r="G31" s="60">
        <f t="shared" si="0"/>
        <v>9325.06666666666</v>
      </c>
      <c r="H31" s="71">
        <v>5485.33333333333</v>
      </c>
    </row>
    <row r="32" ht="15.75" spans="1:8">
      <c r="A32" s="63"/>
      <c r="B32" s="68" t="s">
        <v>845</v>
      </c>
      <c r="C32" s="68" t="s">
        <v>789</v>
      </c>
      <c r="D32" s="63"/>
      <c r="E32" s="69" t="s">
        <v>846</v>
      </c>
      <c r="F32" s="70" t="s">
        <v>428</v>
      </c>
      <c r="G32" s="60">
        <f t="shared" si="0"/>
        <v>7795.06666666666</v>
      </c>
      <c r="H32" s="71">
        <v>4585.33333333333</v>
      </c>
    </row>
    <row r="33" ht="15.75" spans="1:8">
      <c r="A33" s="63"/>
      <c r="B33" s="68" t="s">
        <v>847</v>
      </c>
      <c r="C33" s="68" t="s">
        <v>789</v>
      </c>
      <c r="D33" s="63"/>
      <c r="E33" s="69" t="s">
        <v>848</v>
      </c>
      <c r="F33" s="70" t="s">
        <v>428</v>
      </c>
      <c r="G33" s="60">
        <f t="shared" si="0"/>
        <v>7350.8</v>
      </c>
      <c r="H33" s="71">
        <v>4324</v>
      </c>
    </row>
    <row r="34" ht="25.5" spans="1:8">
      <c r="A34" s="63"/>
      <c r="B34" s="75" t="s">
        <v>849</v>
      </c>
      <c r="C34" s="76" t="s">
        <v>850</v>
      </c>
      <c r="D34" s="63"/>
      <c r="E34" s="77" t="s">
        <v>851</v>
      </c>
      <c r="F34" s="78" t="s">
        <v>852</v>
      </c>
      <c r="G34" s="60">
        <f t="shared" si="0"/>
        <v>10390.4</v>
      </c>
      <c r="H34" s="79">
        <v>6112</v>
      </c>
    </row>
    <row r="35" ht="25.5" spans="1:8">
      <c r="A35" s="63"/>
      <c r="B35" s="75" t="s">
        <v>853</v>
      </c>
      <c r="C35" s="76" t="s">
        <v>850</v>
      </c>
      <c r="D35" s="63"/>
      <c r="E35" s="77" t="s">
        <v>854</v>
      </c>
      <c r="F35" s="78" t="s">
        <v>852</v>
      </c>
      <c r="G35" s="60">
        <f t="shared" si="0"/>
        <v>10390.4</v>
      </c>
      <c r="H35" s="79">
        <v>6112</v>
      </c>
    </row>
    <row r="36" ht="25.5" spans="1:8">
      <c r="A36" s="63"/>
      <c r="B36" s="75" t="s">
        <v>855</v>
      </c>
      <c r="C36" s="76" t="s">
        <v>850</v>
      </c>
      <c r="D36" s="63"/>
      <c r="E36" s="77" t="s">
        <v>856</v>
      </c>
      <c r="F36" s="78" t="s">
        <v>852</v>
      </c>
      <c r="G36" s="60">
        <f t="shared" si="0"/>
        <v>10390.4</v>
      </c>
      <c r="H36" s="79">
        <v>6112</v>
      </c>
    </row>
    <row r="37" ht="25.5" spans="1:8">
      <c r="A37" s="63"/>
      <c r="B37" s="80" t="s">
        <v>857</v>
      </c>
      <c r="C37" s="76" t="s">
        <v>850</v>
      </c>
      <c r="D37" s="63"/>
      <c r="E37" s="77" t="s">
        <v>858</v>
      </c>
      <c r="F37" s="78" t="s">
        <v>859</v>
      </c>
      <c r="G37" s="60">
        <f t="shared" si="0"/>
        <v>10390.4</v>
      </c>
      <c r="H37" s="79">
        <v>6112</v>
      </c>
    </row>
    <row r="38" ht="15.75" spans="1:8">
      <c r="A38" s="63"/>
      <c r="B38" s="55" t="s">
        <v>778</v>
      </c>
      <c r="C38" s="56" t="s">
        <v>779</v>
      </c>
      <c r="D38" s="63"/>
      <c r="E38" s="58" t="s">
        <v>780</v>
      </c>
      <c r="F38" s="59" t="s">
        <v>781</v>
      </c>
      <c r="G38" s="60">
        <f t="shared" si="0"/>
        <v>8434.26666666666</v>
      </c>
      <c r="H38" s="38">
        <v>4961.33333333333</v>
      </c>
    </row>
    <row r="39" ht="15.75" spans="1:8">
      <c r="A39" s="63"/>
      <c r="B39" s="55" t="s">
        <v>782</v>
      </c>
      <c r="C39" s="56" t="s">
        <v>779</v>
      </c>
      <c r="D39" s="63"/>
      <c r="E39" s="58" t="s">
        <v>783</v>
      </c>
      <c r="F39" s="59" t="s">
        <v>643</v>
      </c>
      <c r="G39" s="60">
        <f t="shared" si="0"/>
        <v>6042.93333333334</v>
      </c>
      <c r="H39" s="38">
        <v>3554.66666666667</v>
      </c>
    </row>
    <row r="40" ht="15.75" spans="1:8">
      <c r="A40" s="63"/>
      <c r="B40" s="55" t="s">
        <v>784</v>
      </c>
      <c r="C40" s="56" t="s">
        <v>779</v>
      </c>
      <c r="D40" s="63"/>
      <c r="E40" s="61" t="s">
        <v>785</v>
      </c>
      <c r="F40" s="62" t="s">
        <v>428</v>
      </c>
      <c r="G40" s="60">
        <f t="shared" si="0"/>
        <v>7840.4</v>
      </c>
      <c r="H40" s="38">
        <v>4612</v>
      </c>
    </row>
    <row r="41" ht="15.75" spans="1:8">
      <c r="A41" s="63"/>
      <c r="B41" s="55" t="s">
        <v>786</v>
      </c>
      <c r="C41" s="56" t="s">
        <v>779</v>
      </c>
      <c r="D41" s="63"/>
      <c r="E41" s="58" t="s">
        <v>787</v>
      </c>
      <c r="F41" s="59" t="s">
        <v>428</v>
      </c>
      <c r="G41" s="60">
        <f t="shared" si="0"/>
        <v>7418.8</v>
      </c>
      <c r="H41" s="38">
        <v>4364</v>
      </c>
    </row>
    <row r="42" ht="15.75" spans="1:8">
      <c r="A42" s="63"/>
      <c r="B42" s="55" t="s">
        <v>788</v>
      </c>
      <c r="C42" s="64" t="s">
        <v>789</v>
      </c>
      <c r="D42" s="63"/>
      <c r="E42" s="65" t="s">
        <v>790</v>
      </c>
      <c r="F42" s="59" t="s">
        <v>636</v>
      </c>
      <c r="G42" s="60">
        <f t="shared" si="0"/>
        <v>6863.46666666666</v>
      </c>
      <c r="H42" s="66">
        <v>4037.33333333333</v>
      </c>
    </row>
    <row r="43" ht="15.75" spans="1:8">
      <c r="A43" s="63"/>
      <c r="B43" s="55" t="s">
        <v>791</v>
      </c>
      <c r="C43" s="64" t="s">
        <v>789</v>
      </c>
      <c r="D43" s="63"/>
      <c r="E43" s="67" t="s">
        <v>792</v>
      </c>
      <c r="F43" s="59" t="s">
        <v>636</v>
      </c>
      <c r="G43" s="60">
        <f t="shared" si="0"/>
        <v>8237.06666666666</v>
      </c>
      <c r="H43" s="66">
        <v>4845.33333333333</v>
      </c>
    </row>
    <row r="44" ht="15.75" spans="1:8">
      <c r="A44" s="63"/>
      <c r="B44" s="55" t="s">
        <v>860</v>
      </c>
      <c r="C44" s="81" t="s">
        <v>861</v>
      </c>
      <c r="D44" s="63"/>
      <c r="E44" s="82" t="s">
        <v>862</v>
      </c>
      <c r="F44" s="59" t="s">
        <v>852</v>
      </c>
      <c r="G44" s="60">
        <f t="shared" si="0"/>
        <v>7536.66666666666</v>
      </c>
      <c r="H44" s="83">
        <v>4433.33333333333</v>
      </c>
    </row>
    <row r="45" ht="15.75" spans="1:8">
      <c r="A45" s="63"/>
      <c r="B45" s="68" t="s">
        <v>863</v>
      </c>
      <c r="C45" s="68" t="s">
        <v>864</v>
      </c>
      <c r="D45" s="63"/>
      <c r="E45" s="69" t="s">
        <v>865</v>
      </c>
      <c r="F45" s="70" t="s">
        <v>428</v>
      </c>
      <c r="G45" s="60">
        <f t="shared" si="0"/>
        <v>31352.5333333334</v>
      </c>
      <c r="H45" s="71">
        <v>18442.6666666667</v>
      </c>
    </row>
    <row r="46" ht="15.75" spans="1:8">
      <c r="A46" s="63"/>
      <c r="B46" s="68" t="s">
        <v>866</v>
      </c>
      <c r="C46" s="68" t="s">
        <v>864</v>
      </c>
      <c r="D46" s="63"/>
      <c r="E46" s="69" t="s">
        <v>867</v>
      </c>
      <c r="F46" s="70" t="s">
        <v>643</v>
      </c>
      <c r="G46" s="60">
        <f t="shared" si="0"/>
        <v>22555.6</v>
      </c>
      <c r="H46" s="84">
        <v>13268</v>
      </c>
    </row>
  </sheetData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2" sqref="$A1:$XFD2"/>
    </sheetView>
  </sheetViews>
  <sheetFormatPr defaultColWidth="10.2857142857143" defaultRowHeight="15.75"/>
  <cols>
    <col min="1" max="1" width="10.2857142857143" style="32"/>
    <col min="2" max="2" width="18.1428571428571" style="32" customWidth="1"/>
    <col min="3" max="3" width="27.1428571428571" style="32" customWidth="1"/>
    <col min="4" max="4" width="13.8571428571429" style="32" customWidth="1"/>
    <col min="5" max="5" width="33.2857142857143" style="32" customWidth="1"/>
    <col min="6" max="6" width="14.8571428571429" style="32" customWidth="1"/>
    <col min="7" max="8" width="11.4285714285714" style="33" customWidth="1"/>
    <col min="9" max="9" width="16.8571428571429" style="32" customWidth="1"/>
    <col min="10" max="16384" width="10.2857142857143" style="32"/>
  </cols>
  <sheetData>
    <row r="1" s="31" customFormat="1" ht="24" customHeight="1" spans="1:9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</row>
    <row r="2" s="32" customFormat="1" spans="1:9">
      <c r="A2" s="35">
        <v>1</v>
      </c>
      <c r="B2" s="20" t="s">
        <v>735</v>
      </c>
      <c r="C2" s="20" t="s">
        <v>678</v>
      </c>
      <c r="E2" s="36" t="s">
        <v>868</v>
      </c>
      <c r="F2" s="36" t="s">
        <v>869</v>
      </c>
      <c r="G2" s="37">
        <f>H2*1.7</f>
        <v>8481.3</v>
      </c>
      <c r="H2" s="38">
        <v>4989</v>
      </c>
      <c r="I2" s="42"/>
    </row>
    <row r="3" s="32" customFormat="1" ht="31.5" spans="1:9">
      <c r="A3" s="35">
        <v>2</v>
      </c>
      <c r="B3" s="20" t="s">
        <v>738</v>
      </c>
      <c r="C3" s="20" t="s">
        <v>678</v>
      </c>
      <c r="E3" s="36" t="s">
        <v>870</v>
      </c>
      <c r="F3" s="36" t="s">
        <v>740</v>
      </c>
      <c r="G3" s="37">
        <f t="shared" ref="G3:G14" si="0">H3*1.7</f>
        <v>5419.6</v>
      </c>
      <c r="H3" s="38">
        <v>3188</v>
      </c>
      <c r="I3" s="42"/>
    </row>
    <row r="4" s="32" customFormat="1" spans="1:9">
      <c r="A4" s="35">
        <v>3</v>
      </c>
      <c r="B4" s="20" t="s">
        <v>741</v>
      </c>
      <c r="C4" s="20" t="s">
        <v>678</v>
      </c>
      <c r="E4" s="36" t="s">
        <v>871</v>
      </c>
      <c r="F4" s="36" t="s">
        <v>743</v>
      </c>
      <c r="G4" s="37">
        <f t="shared" si="0"/>
        <v>7984.9</v>
      </c>
      <c r="H4" s="38">
        <v>4697</v>
      </c>
      <c r="I4" s="42"/>
    </row>
    <row r="5" s="32" customFormat="1" ht="28.5" spans="1:9">
      <c r="A5" s="35">
        <v>4</v>
      </c>
      <c r="B5" s="20" t="s">
        <v>753</v>
      </c>
      <c r="C5" s="20" t="s">
        <v>678</v>
      </c>
      <c r="E5" s="36" t="s">
        <v>754</v>
      </c>
      <c r="F5" s="19" t="s">
        <v>755</v>
      </c>
      <c r="G5" s="37">
        <f t="shared" si="0"/>
        <v>7648.3</v>
      </c>
      <c r="H5" s="38">
        <v>4499</v>
      </c>
      <c r="I5" s="42"/>
    </row>
    <row r="6" s="32" customFormat="1" ht="28.5" spans="1:9">
      <c r="A6" s="35">
        <v>5</v>
      </c>
      <c r="B6" s="39" t="s">
        <v>756</v>
      </c>
      <c r="C6" s="40" t="s">
        <v>678</v>
      </c>
      <c r="E6" s="36" t="s">
        <v>757</v>
      </c>
      <c r="F6" s="19" t="s">
        <v>755</v>
      </c>
      <c r="G6" s="37">
        <f t="shared" si="0"/>
        <v>7075.4</v>
      </c>
      <c r="H6" s="38">
        <v>4162</v>
      </c>
      <c r="I6" s="42"/>
    </row>
    <row r="7" s="32" customFormat="1" ht="28.5" spans="1:9">
      <c r="A7" s="35">
        <v>6</v>
      </c>
      <c r="B7" s="39" t="s">
        <v>758</v>
      </c>
      <c r="C7" s="40" t="s">
        <v>678</v>
      </c>
      <c r="E7" s="36" t="s">
        <v>759</v>
      </c>
      <c r="F7" s="19" t="s">
        <v>760</v>
      </c>
      <c r="G7" s="37">
        <f t="shared" si="0"/>
        <v>6303.6</v>
      </c>
      <c r="H7" s="38">
        <v>3708</v>
      </c>
      <c r="I7" s="42"/>
    </row>
    <row r="8" s="32" customFormat="1" ht="28.5" spans="1:9">
      <c r="A8" s="41">
        <v>7</v>
      </c>
      <c r="B8" s="39" t="s">
        <v>761</v>
      </c>
      <c r="C8" s="40" t="s">
        <v>678</v>
      </c>
      <c r="E8" s="36" t="s">
        <v>759</v>
      </c>
      <c r="F8" s="19" t="s">
        <v>762</v>
      </c>
      <c r="G8" s="37">
        <f t="shared" si="0"/>
        <v>7437.5</v>
      </c>
      <c r="H8" s="38">
        <v>4375</v>
      </c>
      <c r="I8" s="42"/>
    </row>
    <row r="9" s="32" customFormat="1" ht="28.5" spans="1:9">
      <c r="A9" s="35">
        <v>8</v>
      </c>
      <c r="B9" s="39" t="s">
        <v>763</v>
      </c>
      <c r="C9" s="40" t="s">
        <v>678</v>
      </c>
      <c r="E9" s="36" t="s">
        <v>757</v>
      </c>
      <c r="F9" s="19" t="s">
        <v>764</v>
      </c>
      <c r="G9" s="37">
        <f t="shared" si="0"/>
        <v>10886.8</v>
      </c>
      <c r="H9" s="38">
        <v>6404</v>
      </c>
      <c r="I9" s="42"/>
    </row>
    <row r="10" s="32" customFormat="1" ht="28.5" spans="1:9">
      <c r="A10" s="41">
        <v>9</v>
      </c>
      <c r="B10" s="39" t="s">
        <v>765</v>
      </c>
      <c r="C10" s="40" t="s">
        <v>678</v>
      </c>
      <c r="E10" s="36" t="s">
        <v>766</v>
      </c>
      <c r="F10" s="19" t="s">
        <v>764</v>
      </c>
      <c r="G10" s="37">
        <f t="shared" si="0"/>
        <v>7661.9</v>
      </c>
      <c r="H10" s="38">
        <v>4507</v>
      </c>
      <c r="I10" s="43"/>
    </row>
    <row r="11" s="32" customFormat="1" spans="1:9">
      <c r="A11" s="41">
        <v>10</v>
      </c>
      <c r="B11" s="39" t="s">
        <v>767</v>
      </c>
      <c r="C11" s="40" t="s">
        <v>678</v>
      </c>
      <c r="E11" s="36" t="s">
        <v>769</v>
      </c>
      <c r="F11" s="19" t="s">
        <v>576</v>
      </c>
      <c r="G11" s="37">
        <f t="shared" si="0"/>
        <v>5859.9</v>
      </c>
      <c r="H11" s="38">
        <v>3447</v>
      </c>
      <c r="I11" s="43"/>
    </row>
    <row r="12" s="32" customFormat="1" ht="28.5" spans="1:9">
      <c r="A12" s="41">
        <v>11</v>
      </c>
      <c r="B12" s="39" t="s">
        <v>770</v>
      </c>
      <c r="C12" s="40" t="s">
        <v>872</v>
      </c>
      <c r="E12" s="36" t="s">
        <v>771</v>
      </c>
      <c r="F12" s="19" t="s">
        <v>760</v>
      </c>
      <c r="G12" s="37">
        <f t="shared" si="0"/>
        <v>8950.5</v>
      </c>
      <c r="H12" s="38">
        <v>5265</v>
      </c>
      <c r="I12" s="43"/>
    </row>
    <row r="13" s="32" customFormat="1" ht="28.5" spans="1:9">
      <c r="A13" s="41">
        <v>12</v>
      </c>
      <c r="B13" s="39" t="s">
        <v>773</v>
      </c>
      <c r="C13" s="40" t="s">
        <v>678</v>
      </c>
      <c r="E13" s="36" t="s">
        <v>774</v>
      </c>
      <c r="F13" s="19" t="s">
        <v>762</v>
      </c>
      <c r="G13" s="37">
        <f t="shared" si="0"/>
        <v>8908</v>
      </c>
      <c r="H13" s="38">
        <v>5240</v>
      </c>
      <c r="I13" s="43"/>
    </row>
    <row r="14" s="32" customFormat="1" ht="28.5" spans="1:9">
      <c r="A14" s="35">
        <v>13</v>
      </c>
      <c r="B14" s="39" t="s">
        <v>775</v>
      </c>
      <c r="C14" s="40" t="s">
        <v>678</v>
      </c>
      <c r="E14" s="36" t="s">
        <v>776</v>
      </c>
      <c r="F14" s="19" t="s">
        <v>777</v>
      </c>
      <c r="G14" s="37">
        <f t="shared" si="0"/>
        <v>15291.5</v>
      </c>
      <c r="H14" s="38">
        <v>8995</v>
      </c>
      <c r="I14" s="43"/>
    </row>
  </sheetData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workbookViewId="0">
      <selection activeCell="A1" sqref="$A1:$XFD1048576"/>
    </sheetView>
  </sheetViews>
  <sheetFormatPr defaultColWidth="9.1047619047619" defaultRowHeight="12.75" outlineLevelCol="6"/>
  <cols>
    <col min="1" max="1" width="4" style="5" customWidth="1"/>
    <col min="2" max="2" width="11.1047619047619" style="5" customWidth="1"/>
    <col min="3" max="3" width="29" style="5" customWidth="1"/>
    <col min="4" max="4" width="22.7142857142857" style="5" customWidth="1"/>
    <col min="5" max="5" width="14.8857142857143" style="5" customWidth="1"/>
    <col min="6" max="6" width="12.3333333333333" style="6" customWidth="1"/>
    <col min="7" max="7" width="14.1428571428571" style="7" customWidth="1"/>
    <col min="8" max="16377" width="9.1047619047619" style="2"/>
  </cols>
  <sheetData>
    <row r="1" s="1" customFormat="1" ht="30" customHeight="1" spans="1:7">
      <c r="A1" s="8" t="s">
        <v>873</v>
      </c>
      <c r="B1" s="8" t="s">
        <v>1</v>
      </c>
      <c r="C1" s="8" t="s">
        <v>2</v>
      </c>
      <c r="D1" s="8" t="s">
        <v>4</v>
      </c>
      <c r="E1" s="8" t="s">
        <v>5</v>
      </c>
      <c r="F1" s="8" t="s">
        <v>874</v>
      </c>
      <c r="G1" s="8" t="s">
        <v>874</v>
      </c>
    </row>
    <row r="2" s="2" customFormat="1" ht="20" customHeight="1" spans="1:7">
      <c r="A2" s="9">
        <v>1</v>
      </c>
      <c r="B2" s="9" t="s">
        <v>875</v>
      </c>
      <c r="C2" s="9" t="s">
        <v>876</v>
      </c>
      <c r="D2" s="9" t="s">
        <v>877</v>
      </c>
      <c r="E2" s="9" t="s">
        <v>878</v>
      </c>
      <c r="F2" s="10">
        <v>5526.56379299504</v>
      </c>
      <c r="G2" s="10">
        <v>9395.15844809156</v>
      </c>
    </row>
    <row r="3" s="2" customFormat="1" ht="23" customHeight="1" spans="1:7">
      <c r="A3" s="9">
        <v>2</v>
      </c>
      <c r="B3" s="9" t="s">
        <v>879</v>
      </c>
      <c r="C3" s="9" t="s">
        <v>876</v>
      </c>
      <c r="D3" s="9" t="s">
        <v>880</v>
      </c>
      <c r="E3" s="9" t="s">
        <v>878</v>
      </c>
      <c r="F3" s="10">
        <v>6181.52248003521</v>
      </c>
      <c r="G3" s="10">
        <v>10508.5882160599</v>
      </c>
    </row>
    <row r="4" s="2" customFormat="1" ht="22" customHeight="1" spans="1:7">
      <c r="A4" s="9">
        <v>3</v>
      </c>
      <c r="B4" s="9" t="s">
        <v>620</v>
      </c>
      <c r="C4" s="9" t="s">
        <v>621</v>
      </c>
      <c r="D4" s="9" t="s">
        <v>622</v>
      </c>
      <c r="E4" s="9" t="s">
        <v>878</v>
      </c>
      <c r="F4" s="10">
        <v>6247.29824561403</v>
      </c>
      <c r="G4" s="10">
        <v>10620.4070175439</v>
      </c>
    </row>
    <row r="5" s="2" customFormat="1" ht="20" customHeight="1" spans="1:7">
      <c r="A5" s="9">
        <v>4</v>
      </c>
      <c r="B5" s="9" t="s">
        <v>881</v>
      </c>
      <c r="C5" s="9" t="s">
        <v>882</v>
      </c>
      <c r="D5" s="9" t="s">
        <v>883</v>
      </c>
      <c r="E5" s="9" t="s">
        <v>878</v>
      </c>
      <c r="F5" s="10">
        <v>8089.01968182104</v>
      </c>
      <c r="G5" s="10">
        <v>13751.3334590958</v>
      </c>
    </row>
    <row r="6" s="2" customFormat="1" ht="17" customHeight="1" spans="1:7">
      <c r="A6" s="9">
        <v>5</v>
      </c>
      <c r="B6" s="9" t="s">
        <v>884</v>
      </c>
      <c r="C6" s="9" t="s">
        <v>885</v>
      </c>
      <c r="D6" s="9" t="s">
        <v>886</v>
      </c>
      <c r="E6" s="9" t="s">
        <v>878</v>
      </c>
      <c r="F6" s="10">
        <v>3469.32176318933</v>
      </c>
      <c r="G6" s="10">
        <v>5897.84699742187</v>
      </c>
    </row>
    <row r="7" s="2" customFormat="1" ht="17" customHeight="1" spans="1:7">
      <c r="A7" s="9">
        <v>6</v>
      </c>
      <c r="B7" s="9" t="s">
        <v>887</v>
      </c>
      <c r="C7" s="9" t="s">
        <v>885</v>
      </c>
      <c r="D7" s="9" t="s">
        <v>888</v>
      </c>
      <c r="E7" s="9" t="s">
        <v>878</v>
      </c>
      <c r="F7" s="10">
        <v>4169.06395019808</v>
      </c>
      <c r="G7" s="10">
        <v>7087.40871533673</v>
      </c>
    </row>
    <row r="8" s="2" customFormat="1" ht="15" customHeight="1" spans="1:7">
      <c r="A8" s="9">
        <v>7</v>
      </c>
      <c r="B8" s="9" t="s">
        <v>889</v>
      </c>
      <c r="C8" s="9" t="s">
        <v>885</v>
      </c>
      <c r="D8" s="9" t="s">
        <v>890</v>
      </c>
      <c r="E8" s="9" t="s">
        <v>878</v>
      </c>
      <c r="F8" s="10">
        <v>4446.16185625354</v>
      </c>
      <c r="G8" s="10">
        <v>7558.47515563101</v>
      </c>
    </row>
    <row r="9" s="2" customFormat="1" ht="17" customHeight="1" spans="1:7">
      <c r="A9" s="9">
        <v>8</v>
      </c>
      <c r="B9" s="9" t="s">
        <v>624</v>
      </c>
      <c r="C9" s="9" t="s">
        <v>625</v>
      </c>
      <c r="D9" s="9" t="s">
        <v>626</v>
      </c>
      <c r="E9" s="9" t="s">
        <v>878</v>
      </c>
      <c r="F9" s="10">
        <v>6947.04043262278</v>
      </c>
      <c r="G9" s="10">
        <v>11809.9687354587</v>
      </c>
    </row>
    <row r="10" s="2" customFormat="1" ht="19" customHeight="1" spans="1:7">
      <c r="A10" s="9">
        <v>9</v>
      </c>
      <c r="B10" s="9" t="s">
        <v>891</v>
      </c>
      <c r="C10" s="9" t="s">
        <v>699</v>
      </c>
      <c r="D10" s="9" t="s">
        <v>892</v>
      </c>
      <c r="E10" s="9" t="s">
        <v>878</v>
      </c>
      <c r="F10" s="10">
        <v>3710.03307552034</v>
      </c>
      <c r="G10" s="10">
        <v>6307.05622838458</v>
      </c>
    </row>
    <row r="11" s="2" customFormat="1" ht="23" customHeight="1" spans="1:7">
      <c r="A11" s="9">
        <v>10</v>
      </c>
      <c r="B11" s="9" t="s">
        <v>893</v>
      </c>
      <c r="C11" s="9" t="s">
        <v>894</v>
      </c>
      <c r="D11" s="9" t="s">
        <v>629</v>
      </c>
      <c r="E11" s="9" t="s">
        <v>878</v>
      </c>
      <c r="F11" s="10">
        <v>4566.51751241904</v>
      </c>
      <c r="G11" s="10">
        <v>7763.07977111237</v>
      </c>
    </row>
    <row r="12" s="2" customFormat="1" ht="21" customHeight="1" spans="1:7">
      <c r="A12" s="9">
        <v>11</v>
      </c>
      <c r="B12" s="9" t="s">
        <v>895</v>
      </c>
      <c r="C12" s="9" t="s">
        <v>699</v>
      </c>
      <c r="D12" s="9" t="s">
        <v>896</v>
      </c>
      <c r="E12" s="9" t="s">
        <v>878</v>
      </c>
      <c r="F12" s="10">
        <v>7886.09444758851</v>
      </c>
      <c r="G12" s="10">
        <v>13406.3605609005</v>
      </c>
    </row>
    <row r="13" s="2" customFormat="1" ht="20" customHeight="1" spans="1:7">
      <c r="A13" s="9">
        <v>12</v>
      </c>
      <c r="B13" s="9" t="s">
        <v>897</v>
      </c>
      <c r="C13" s="9" t="s">
        <v>898</v>
      </c>
      <c r="D13" s="9" t="s">
        <v>899</v>
      </c>
      <c r="E13" s="9" t="s">
        <v>878</v>
      </c>
      <c r="F13" s="10">
        <v>5674.90913664089</v>
      </c>
      <c r="G13" s="10">
        <v>9647.3455322895</v>
      </c>
    </row>
    <row r="14" s="2" customFormat="1" ht="22" customHeight="1" spans="1:7">
      <c r="A14" s="9">
        <v>13</v>
      </c>
      <c r="B14" s="9" t="s">
        <v>900</v>
      </c>
      <c r="C14" s="9" t="s">
        <v>647</v>
      </c>
      <c r="D14" s="9" t="s">
        <v>901</v>
      </c>
      <c r="E14" s="9" t="s">
        <v>878</v>
      </c>
      <c r="F14" s="10">
        <v>6205.31371439351</v>
      </c>
      <c r="G14" s="10">
        <v>10549.033314469</v>
      </c>
    </row>
    <row r="15" s="2" customFormat="1" ht="22" customHeight="1" spans="1:7">
      <c r="A15" s="9">
        <v>14</v>
      </c>
      <c r="B15" s="9" t="s">
        <v>902</v>
      </c>
      <c r="C15" s="9" t="s">
        <v>903</v>
      </c>
      <c r="D15" s="9" t="s">
        <v>629</v>
      </c>
      <c r="E15" s="9" t="s">
        <v>878</v>
      </c>
      <c r="F15" s="10">
        <v>6173.12557379111</v>
      </c>
      <c r="G15" s="10">
        <v>10494.3134754449</v>
      </c>
    </row>
    <row r="16" s="2" customFormat="1" ht="20" customHeight="1" spans="1:7">
      <c r="A16" s="9">
        <v>15</v>
      </c>
      <c r="B16" s="9" t="s">
        <v>904</v>
      </c>
      <c r="C16" s="9" t="s">
        <v>905</v>
      </c>
      <c r="D16" s="9" t="s">
        <v>906</v>
      </c>
      <c r="E16" s="9" t="s">
        <v>878</v>
      </c>
      <c r="F16" s="10">
        <v>3129.24706030309</v>
      </c>
      <c r="G16" s="10">
        <v>5319.72000251525</v>
      </c>
    </row>
    <row r="17" s="2" customFormat="1" ht="21" customHeight="1" spans="1:7">
      <c r="A17" s="9">
        <v>16</v>
      </c>
      <c r="B17" s="9" t="s">
        <v>664</v>
      </c>
      <c r="C17" s="9" t="s">
        <v>662</v>
      </c>
      <c r="D17" s="9" t="s">
        <v>665</v>
      </c>
      <c r="E17" s="9" t="s">
        <v>878</v>
      </c>
      <c r="F17" s="10">
        <v>4542.72627806074</v>
      </c>
      <c r="G17" s="10">
        <v>7722.63467270326</v>
      </c>
    </row>
    <row r="18" s="2" customFormat="1" ht="21" customHeight="1" spans="1:7">
      <c r="A18" s="9">
        <v>17</v>
      </c>
      <c r="B18" s="9" t="s">
        <v>627</v>
      </c>
      <c r="C18" s="9" t="s">
        <v>628</v>
      </c>
      <c r="D18" s="9" t="s">
        <v>629</v>
      </c>
      <c r="E18" s="9" t="s">
        <v>878</v>
      </c>
      <c r="F18" s="10">
        <v>4779.2391372697</v>
      </c>
      <c r="G18" s="10">
        <v>8124.70653335849</v>
      </c>
    </row>
    <row r="19" s="2" customFormat="1" ht="23" customHeight="1" spans="1:7">
      <c r="A19" s="9">
        <v>18</v>
      </c>
      <c r="B19" s="9" t="s">
        <v>907</v>
      </c>
      <c r="C19" s="9" t="s">
        <v>908</v>
      </c>
      <c r="D19" s="9" t="s">
        <v>909</v>
      </c>
      <c r="E19" s="9" t="s">
        <v>910</v>
      </c>
      <c r="F19" s="10">
        <v>7589.4037602968</v>
      </c>
      <c r="G19" s="10">
        <v>12901.9863925046</v>
      </c>
    </row>
    <row r="20" s="2" customFormat="1" ht="22" customHeight="1" spans="1:7">
      <c r="A20" s="9">
        <v>19</v>
      </c>
      <c r="B20" s="9" t="s">
        <v>911</v>
      </c>
      <c r="C20" s="9" t="s">
        <v>912</v>
      </c>
      <c r="D20" s="9" t="s">
        <v>913</v>
      </c>
      <c r="E20" s="9" t="s">
        <v>910</v>
      </c>
      <c r="F20" s="10">
        <v>7688.76715085204</v>
      </c>
      <c r="G20" s="10">
        <v>13070.9041564485</v>
      </c>
    </row>
    <row r="21" s="2" customFormat="1" ht="24" customHeight="1" spans="1:7">
      <c r="A21" s="9">
        <v>20</v>
      </c>
      <c r="B21" s="9" t="s">
        <v>914</v>
      </c>
      <c r="C21" s="9" t="s">
        <v>915</v>
      </c>
      <c r="D21" s="9" t="s">
        <v>913</v>
      </c>
      <c r="E21" s="9" t="s">
        <v>910</v>
      </c>
      <c r="F21" s="10">
        <v>7688.76715085204</v>
      </c>
      <c r="G21" s="10">
        <v>13070.9041564485</v>
      </c>
    </row>
    <row r="22" s="2" customFormat="1" ht="19" customHeight="1" spans="1:7">
      <c r="A22" s="9">
        <v>21</v>
      </c>
      <c r="B22" s="9" t="s">
        <v>916</v>
      </c>
      <c r="C22" s="9" t="s">
        <v>917</v>
      </c>
      <c r="D22" s="9" t="s">
        <v>909</v>
      </c>
      <c r="E22" s="9" t="s">
        <v>910</v>
      </c>
      <c r="F22" s="10">
        <v>8706.19229076275</v>
      </c>
      <c r="G22" s="10">
        <v>14800.5268942967</v>
      </c>
    </row>
    <row r="23" s="2" customFormat="1" ht="19" customHeight="1" spans="1:7">
      <c r="A23" s="9">
        <v>22</v>
      </c>
      <c r="B23" s="11" t="s">
        <v>630</v>
      </c>
      <c r="C23" s="11" t="s">
        <v>918</v>
      </c>
      <c r="D23" s="11" t="s">
        <v>691</v>
      </c>
      <c r="E23" s="11">
        <v>858</v>
      </c>
      <c r="F23" s="10">
        <v>7417.26718229265</v>
      </c>
      <c r="G23" s="10">
        <v>12609.3542098975</v>
      </c>
    </row>
    <row r="24" s="2" customFormat="1" spans="1:7">
      <c r="A24" s="9">
        <v>23</v>
      </c>
      <c r="B24" s="9" t="s">
        <v>919</v>
      </c>
      <c r="C24" s="9" t="s">
        <v>920</v>
      </c>
      <c r="D24" s="9" t="s">
        <v>921</v>
      </c>
      <c r="E24" s="9" t="s">
        <v>428</v>
      </c>
      <c r="F24" s="10">
        <v>1514.24209268691</v>
      </c>
      <c r="G24" s="10">
        <v>2574.21155756775</v>
      </c>
    </row>
    <row r="25" s="2" customFormat="1" spans="1:7">
      <c r="A25" s="9">
        <v>24</v>
      </c>
      <c r="B25" s="9" t="s">
        <v>922</v>
      </c>
      <c r="C25" s="9" t="s">
        <v>920</v>
      </c>
      <c r="D25" s="9" t="s">
        <v>923</v>
      </c>
      <c r="E25" s="9" t="s">
        <v>428</v>
      </c>
      <c r="F25" s="10">
        <v>4754.04841853738</v>
      </c>
      <c r="G25" s="10">
        <v>8081.88231151355</v>
      </c>
    </row>
    <row r="26" s="2" customFormat="1" spans="1:7">
      <c r="A26" s="9">
        <v>25</v>
      </c>
      <c r="B26" s="11" t="s">
        <v>924</v>
      </c>
      <c r="C26" s="9" t="s">
        <v>920</v>
      </c>
      <c r="D26" s="11" t="s">
        <v>925</v>
      </c>
      <c r="E26" s="9" t="s">
        <v>428</v>
      </c>
      <c r="F26" s="12">
        <v>4688.27265295856</v>
      </c>
      <c r="G26" s="12">
        <v>7970.06351002955</v>
      </c>
    </row>
    <row r="27" s="2" customFormat="1" ht="25.5" spans="1:7">
      <c r="A27" s="9">
        <v>26</v>
      </c>
      <c r="B27" s="11" t="s">
        <v>926</v>
      </c>
      <c r="C27" s="11" t="s">
        <v>927</v>
      </c>
      <c r="D27" s="11" t="s">
        <v>928</v>
      </c>
      <c r="E27" s="9" t="s">
        <v>428</v>
      </c>
      <c r="F27" s="12">
        <v>5071.73137143935</v>
      </c>
      <c r="G27" s="12">
        <v>8621.9433314469</v>
      </c>
    </row>
    <row r="28" s="2" customFormat="1" spans="1:7">
      <c r="A28" s="9">
        <v>27</v>
      </c>
      <c r="B28" s="9" t="s">
        <v>929</v>
      </c>
      <c r="C28" s="9" t="s">
        <v>930</v>
      </c>
      <c r="D28" s="9" t="s">
        <v>931</v>
      </c>
      <c r="E28" s="9" t="s">
        <v>428</v>
      </c>
      <c r="F28" s="10">
        <v>2349.73426397535</v>
      </c>
      <c r="G28" s="10">
        <v>3994.5482487581</v>
      </c>
    </row>
    <row r="29" s="2" customFormat="1" spans="1:7">
      <c r="A29" s="9">
        <v>28</v>
      </c>
      <c r="B29" s="9" t="s">
        <v>932</v>
      </c>
      <c r="C29" s="9" t="s">
        <v>933</v>
      </c>
      <c r="D29" s="9" t="s">
        <v>934</v>
      </c>
      <c r="E29" s="9" t="s">
        <v>428</v>
      </c>
      <c r="F29" s="10">
        <v>2980.90171665723</v>
      </c>
      <c r="G29" s="10">
        <v>5067.5329183173</v>
      </c>
    </row>
    <row r="30" s="2" customFormat="1" spans="1:7">
      <c r="A30" s="9">
        <v>29</v>
      </c>
      <c r="B30" s="9" t="s">
        <v>935</v>
      </c>
      <c r="C30" s="9" t="s">
        <v>930</v>
      </c>
      <c r="D30" s="9" t="s">
        <v>936</v>
      </c>
      <c r="E30" s="9" t="s">
        <v>428</v>
      </c>
      <c r="F30" s="10">
        <v>2327.34251399107</v>
      </c>
      <c r="G30" s="10">
        <v>3956.48227378482</v>
      </c>
    </row>
    <row r="31" s="3" customFormat="1" spans="1:7">
      <c r="A31" s="9">
        <v>30</v>
      </c>
      <c r="B31" s="9" t="s">
        <v>937</v>
      </c>
      <c r="C31" s="11" t="s">
        <v>938</v>
      </c>
      <c r="D31" s="11" t="s">
        <v>939</v>
      </c>
      <c r="E31" s="9" t="s">
        <v>428</v>
      </c>
      <c r="F31" s="12">
        <v>6117.14619883041</v>
      </c>
      <c r="G31" s="12">
        <v>10399.1485380117</v>
      </c>
    </row>
    <row r="32" s="3" customFormat="1" spans="1:7">
      <c r="A32" s="9">
        <v>31</v>
      </c>
      <c r="B32" s="9" t="s">
        <v>940</v>
      </c>
      <c r="C32" s="11" t="s">
        <v>941</v>
      </c>
      <c r="D32" s="11" t="s">
        <v>942</v>
      </c>
      <c r="E32" s="9" t="s">
        <v>428</v>
      </c>
      <c r="F32" s="12">
        <v>3624.66452870528</v>
      </c>
      <c r="G32" s="12">
        <v>6161.92969879897</v>
      </c>
    </row>
    <row r="33" s="3" customFormat="1" ht="28" customHeight="1" spans="1:7">
      <c r="A33" s="9">
        <v>32</v>
      </c>
      <c r="B33" s="13" t="s">
        <v>943</v>
      </c>
      <c r="C33" s="13" t="s">
        <v>944</v>
      </c>
      <c r="D33" s="13" t="s">
        <v>945</v>
      </c>
      <c r="E33" s="13" t="s">
        <v>946</v>
      </c>
      <c r="F33" s="12">
        <v>5428.65586618877</v>
      </c>
      <c r="G33" s="12">
        <v>9228.71497252091</v>
      </c>
    </row>
    <row r="34" s="3" customFormat="1" spans="1:7">
      <c r="A34" s="9">
        <v>33</v>
      </c>
      <c r="B34" s="9" t="s">
        <v>947</v>
      </c>
      <c r="C34" s="11" t="s">
        <v>948</v>
      </c>
      <c r="D34" s="11" t="s">
        <v>949</v>
      </c>
      <c r="E34" s="9" t="s">
        <v>428</v>
      </c>
      <c r="F34" s="12">
        <v>7078.59196378042</v>
      </c>
      <c r="G34" s="12">
        <v>12033.6063384267</v>
      </c>
    </row>
    <row r="35" s="3" customFormat="1" ht="25.5" spans="1:7">
      <c r="A35" s="9">
        <v>34</v>
      </c>
      <c r="B35" s="9" t="s">
        <v>603</v>
      </c>
      <c r="C35" s="11" t="s">
        <v>950</v>
      </c>
      <c r="D35" s="11" t="s">
        <v>951</v>
      </c>
      <c r="E35" s="9" t="s">
        <v>428</v>
      </c>
      <c r="F35" s="12">
        <v>3281.79085707099</v>
      </c>
      <c r="G35" s="12">
        <v>5579.04445702069</v>
      </c>
    </row>
    <row r="36" s="3" customFormat="1" ht="28" customHeight="1" spans="1:7">
      <c r="A36" s="9">
        <v>35</v>
      </c>
      <c r="B36" s="13" t="s">
        <v>952</v>
      </c>
      <c r="C36" s="13" t="s">
        <v>953</v>
      </c>
      <c r="D36" s="13" t="s">
        <v>954</v>
      </c>
      <c r="E36" s="9" t="s">
        <v>428</v>
      </c>
      <c r="F36" s="12">
        <v>4922.37839904421</v>
      </c>
      <c r="G36" s="12">
        <v>8368.04327837515</v>
      </c>
    </row>
    <row r="37" s="3" customFormat="1" spans="1:7">
      <c r="A37" s="9">
        <v>36</v>
      </c>
      <c r="B37" s="11" t="s">
        <v>955</v>
      </c>
      <c r="C37" s="11" t="s">
        <v>956</v>
      </c>
      <c r="D37" s="11" t="s">
        <v>957</v>
      </c>
      <c r="E37" s="9" t="s">
        <v>428</v>
      </c>
      <c r="F37" s="12">
        <v>3972.57634408602</v>
      </c>
      <c r="G37" s="12">
        <v>6753.37978494624</v>
      </c>
    </row>
    <row r="38" s="3" customFormat="1" spans="1:7">
      <c r="A38" s="9">
        <v>37</v>
      </c>
      <c r="B38" s="9" t="s">
        <v>677</v>
      </c>
      <c r="C38" s="11" t="s">
        <v>958</v>
      </c>
      <c r="D38" s="11" t="s">
        <v>959</v>
      </c>
      <c r="E38" s="9" t="s">
        <v>428</v>
      </c>
      <c r="F38" s="12">
        <v>1477.85549896246</v>
      </c>
      <c r="G38" s="12">
        <v>2512.35434823618</v>
      </c>
    </row>
    <row r="39" s="3" customFormat="1" spans="1:7">
      <c r="A39" s="9">
        <v>38</v>
      </c>
      <c r="B39" s="9" t="s">
        <v>680</v>
      </c>
      <c r="C39" s="11" t="s">
        <v>958</v>
      </c>
      <c r="D39" s="11" t="s">
        <v>960</v>
      </c>
      <c r="E39" s="9" t="s">
        <v>428</v>
      </c>
      <c r="F39" s="12">
        <v>2099.22656102622</v>
      </c>
      <c r="G39" s="12">
        <v>3568.68515374458</v>
      </c>
    </row>
    <row r="40" s="3" customFormat="1" spans="1:7">
      <c r="A40" s="9">
        <v>39</v>
      </c>
      <c r="B40" s="9" t="s">
        <v>961</v>
      </c>
      <c r="C40" s="9" t="s">
        <v>962</v>
      </c>
      <c r="D40" s="9" t="s">
        <v>963</v>
      </c>
      <c r="E40" s="9" t="s">
        <v>428</v>
      </c>
      <c r="F40" s="10">
        <v>9426.92674338175</v>
      </c>
      <c r="G40" s="10">
        <v>16025.775463749</v>
      </c>
    </row>
    <row r="41" s="3" customFormat="1" spans="1:7">
      <c r="A41" s="9">
        <v>40</v>
      </c>
      <c r="B41" s="9" t="s">
        <v>658</v>
      </c>
      <c r="C41" s="9" t="s">
        <v>964</v>
      </c>
      <c r="D41" s="9" t="s">
        <v>965</v>
      </c>
      <c r="E41" s="9" t="s">
        <v>428</v>
      </c>
      <c r="F41" s="10">
        <v>8536.85468150663</v>
      </c>
      <c r="G41" s="10">
        <v>14512.6529585613</v>
      </c>
    </row>
    <row r="42" s="3" customFormat="1" spans="1:7">
      <c r="A42" s="9">
        <v>41</v>
      </c>
      <c r="B42" s="9" t="s">
        <v>966</v>
      </c>
      <c r="C42" s="9" t="s">
        <v>967</v>
      </c>
      <c r="D42" s="9" t="s">
        <v>968</v>
      </c>
      <c r="E42" s="9" t="s">
        <v>428</v>
      </c>
      <c r="F42" s="10">
        <v>7753.14343205685</v>
      </c>
      <c r="G42" s="10">
        <v>13180.3438344966</v>
      </c>
    </row>
    <row r="43" s="2" customFormat="1" spans="1:7">
      <c r="A43" s="9">
        <v>42</v>
      </c>
      <c r="B43" s="9" t="s">
        <v>969</v>
      </c>
      <c r="C43" s="9" t="s">
        <v>970</v>
      </c>
      <c r="D43" s="9" t="s">
        <v>971</v>
      </c>
      <c r="E43" s="9" t="s">
        <v>428</v>
      </c>
      <c r="F43" s="10">
        <v>6695.13324529963</v>
      </c>
      <c r="G43" s="10">
        <v>11381.7265170094</v>
      </c>
    </row>
    <row r="44" s="2" customFormat="1" spans="1:7">
      <c r="A44" s="9"/>
      <c r="B44" s="9" t="s">
        <v>972</v>
      </c>
      <c r="C44" s="9" t="s">
        <v>973</v>
      </c>
      <c r="D44" s="9" t="s">
        <v>971</v>
      </c>
      <c r="E44" s="9" t="s">
        <v>428</v>
      </c>
      <c r="F44" s="10">
        <v>6695.13324529963</v>
      </c>
      <c r="G44" s="10">
        <v>11381.7265170094</v>
      </c>
    </row>
    <row r="45" s="2" customFormat="1" ht="25.5" spans="1:7">
      <c r="A45" s="9">
        <v>44</v>
      </c>
      <c r="B45" s="9" t="s">
        <v>974</v>
      </c>
      <c r="C45" s="9" t="s">
        <v>967</v>
      </c>
      <c r="D45" s="9" t="s">
        <v>975</v>
      </c>
      <c r="E45" s="9" t="s">
        <v>428</v>
      </c>
      <c r="F45" s="10">
        <v>6134.89166069295</v>
      </c>
      <c r="G45" s="10">
        <v>10429.315823178</v>
      </c>
    </row>
    <row r="46" s="2" customFormat="1" spans="1:7">
      <c r="A46" s="9"/>
      <c r="B46" s="9" t="s">
        <v>976</v>
      </c>
      <c r="C46" s="9" t="s">
        <v>967</v>
      </c>
      <c r="D46" s="9" t="s">
        <v>977</v>
      </c>
      <c r="E46" s="9" t="s">
        <v>428</v>
      </c>
      <c r="F46" s="10">
        <v>4676.6849223417</v>
      </c>
      <c r="G46" s="10">
        <v>7950.36436798088</v>
      </c>
    </row>
    <row r="47" s="2" customFormat="1" spans="1:7">
      <c r="A47" s="9">
        <v>46</v>
      </c>
      <c r="B47" s="9" t="s">
        <v>978</v>
      </c>
      <c r="C47" s="9" t="s">
        <v>979</v>
      </c>
      <c r="D47" s="9" t="s">
        <v>980</v>
      </c>
      <c r="E47" s="9" t="s">
        <v>428</v>
      </c>
      <c r="F47" s="10">
        <v>15486.6940828774</v>
      </c>
      <c r="G47" s="10">
        <v>26327.3799408917</v>
      </c>
    </row>
    <row r="48" s="2" customFormat="1" spans="1:7">
      <c r="A48" s="9">
        <v>47</v>
      </c>
      <c r="B48" s="9" t="s">
        <v>981</v>
      </c>
      <c r="C48" s="9" t="s">
        <v>982</v>
      </c>
      <c r="D48" s="9" t="s">
        <v>980</v>
      </c>
      <c r="E48" s="9" t="s">
        <v>428</v>
      </c>
      <c r="F48" s="10">
        <v>14024.2329120292</v>
      </c>
      <c r="G48" s="10">
        <v>23841.1959504496</v>
      </c>
    </row>
    <row r="49" s="2" customFormat="1" ht="25.5" spans="1:7">
      <c r="A49" s="9">
        <v>48</v>
      </c>
      <c r="B49" s="9" t="s">
        <v>983</v>
      </c>
      <c r="C49" s="9" t="s">
        <v>984</v>
      </c>
      <c r="D49" s="9" t="s">
        <v>985</v>
      </c>
      <c r="E49" s="9" t="s">
        <v>428</v>
      </c>
      <c r="F49" s="10">
        <v>11615.7203043451</v>
      </c>
      <c r="G49" s="10">
        <v>19746.7245173867</v>
      </c>
    </row>
    <row r="50" s="2" customFormat="1" ht="25.5" spans="1:7">
      <c r="A50" s="9">
        <v>49</v>
      </c>
      <c r="B50" s="9" t="s">
        <v>986</v>
      </c>
      <c r="C50" s="9" t="s">
        <v>987</v>
      </c>
      <c r="D50" s="9" t="s">
        <v>985</v>
      </c>
      <c r="E50" s="9" t="s">
        <v>428</v>
      </c>
      <c r="F50" s="10">
        <v>9393.33911840533</v>
      </c>
      <c r="G50" s="10">
        <v>15968.6765012891</v>
      </c>
    </row>
    <row r="51" s="3" customFormat="1" spans="1:7">
      <c r="A51" s="9">
        <v>50</v>
      </c>
      <c r="B51" s="11" t="s">
        <v>988</v>
      </c>
      <c r="C51" s="11" t="s">
        <v>989</v>
      </c>
      <c r="D51" s="11" t="s">
        <v>990</v>
      </c>
      <c r="E51" s="9" t="s">
        <v>991</v>
      </c>
      <c r="F51" s="12">
        <v>2668.81670125134</v>
      </c>
      <c r="G51" s="12">
        <v>4536.98839212727</v>
      </c>
    </row>
    <row r="52" s="3" customFormat="1" ht="25.5" spans="1:7">
      <c r="A52" s="9">
        <v>51</v>
      </c>
      <c r="B52" s="11" t="s">
        <v>992</v>
      </c>
      <c r="C52" s="11" t="s">
        <v>993</v>
      </c>
      <c r="D52" s="11" t="s">
        <v>994</v>
      </c>
      <c r="E52" s="9" t="s">
        <v>991</v>
      </c>
      <c r="F52" s="12">
        <v>2260.16726403823</v>
      </c>
      <c r="G52" s="12">
        <v>3842.28434886499</v>
      </c>
    </row>
    <row r="53" s="3" customFormat="1" spans="1:7">
      <c r="A53" s="9">
        <v>52</v>
      </c>
      <c r="B53" s="11" t="s">
        <v>995</v>
      </c>
      <c r="C53" s="14" t="s">
        <v>996</v>
      </c>
      <c r="D53" s="11" t="s">
        <v>997</v>
      </c>
      <c r="E53" s="9" t="s">
        <v>991</v>
      </c>
      <c r="F53" s="12">
        <v>3255.20065396466</v>
      </c>
      <c r="G53" s="12">
        <v>5533.84111173992</v>
      </c>
    </row>
    <row r="54" s="3" customFormat="1" spans="1:7">
      <c r="A54" s="9">
        <v>53</v>
      </c>
      <c r="B54" s="11" t="s">
        <v>998</v>
      </c>
      <c r="C54" s="14" t="s">
        <v>999</v>
      </c>
      <c r="D54" s="11" t="s">
        <v>1000</v>
      </c>
      <c r="E54" s="9" t="s">
        <v>991</v>
      </c>
      <c r="F54" s="12">
        <v>4015.12066905615</v>
      </c>
      <c r="G54" s="12">
        <v>6825.70513739546</v>
      </c>
    </row>
    <row r="55" s="3" customFormat="1" spans="1:7">
      <c r="A55" s="9">
        <v>54</v>
      </c>
      <c r="B55" s="11" t="s">
        <v>1001</v>
      </c>
      <c r="C55" s="11" t="s">
        <v>1002</v>
      </c>
      <c r="D55" s="11" t="s">
        <v>1003</v>
      </c>
      <c r="E55" s="9" t="s">
        <v>991</v>
      </c>
      <c r="F55" s="12">
        <v>9867.76432119726</v>
      </c>
      <c r="G55" s="12">
        <v>16775.1993460353</v>
      </c>
    </row>
    <row r="56" s="3" customFormat="1" spans="1:7">
      <c r="A56" s="9">
        <v>55</v>
      </c>
      <c r="B56" s="11" t="s">
        <v>1004</v>
      </c>
      <c r="C56" s="11" t="s">
        <v>1005</v>
      </c>
      <c r="D56" s="11" t="s">
        <v>1006</v>
      </c>
      <c r="E56" s="9" t="s">
        <v>428</v>
      </c>
      <c r="F56" s="12">
        <v>8676.80311890838</v>
      </c>
      <c r="G56" s="12">
        <v>14750.5653021442</v>
      </c>
    </row>
    <row r="57" s="3" customFormat="1" spans="1:7">
      <c r="A57" s="9">
        <v>56</v>
      </c>
      <c r="B57" s="11" t="s">
        <v>1007</v>
      </c>
      <c r="C57" s="11" t="s">
        <v>1008</v>
      </c>
      <c r="D57" s="11" t="s">
        <v>1009</v>
      </c>
      <c r="E57" s="9" t="s">
        <v>1010</v>
      </c>
      <c r="F57" s="12">
        <v>21613.636672326</v>
      </c>
      <c r="G57" s="12">
        <v>36743.1823429542</v>
      </c>
    </row>
    <row r="58" s="3" customFormat="1" ht="25.5" spans="1:7">
      <c r="A58" s="9">
        <v>57</v>
      </c>
      <c r="B58" s="11" t="s">
        <v>1011</v>
      </c>
      <c r="C58" s="11" t="s">
        <v>1008</v>
      </c>
      <c r="D58" s="11" t="s">
        <v>1012</v>
      </c>
      <c r="E58" s="9" t="s">
        <v>1013</v>
      </c>
      <c r="F58" s="12">
        <v>18155.5107841288</v>
      </c>
      <c r="G58" s="12">
        <v>30864.3683330189</v>
      </c>
    </row>
    <row r="59" s="3" customFormat="1" spans="1:7">
      <c r="A59" s="9">
        <v>58</v>
      </c>
      <c r="B59" s="11" t="s">
        <v>1014</v>
      </c>
      <c r="C59" s="11" t="s">
        <v>1015</v>
      </c>
      <c r="D59" s="11" t="s">
        <v>1016</v>
      </c>
      <c r="E59" s="9" t="s">
        <v>1017</v>
      </c>
      <c r="F59" s="12">
        <v>10790.0245236748</v>
      </c>
      <c r="G59" s="12">
        <v>18343.0416902471</v>
      </c>
    </row>
    <row r="60" s="3" customFormat="1" ht="25.5" spans="1:7">
      <c r="A60" s="9">
        <v>59</v>
      </c>
      <c r="B60" s="11" t="s">
        <v>1018</v>
      </c>
      <c r="C60" s="11" t="s">
        <v>1019</v>
      </c>
      <c r="D60" s="11" t="s">
        <v>1020</v>
      </c>
      <c r="E60" s="9" t="s">
        <v>1021</v>
      </c>
      <c r="F60" s="12">
        <v>17755.6081242533</v>
      </c>
      <c r="G60" s="12">
        <v>30184.5338112306</v>
      </c>
    </row>
    <row r="61" s="3" customFormat="1" ht="25.5" spans="1:7">
      <c r="A61" s="9">
        <v>60</v>
      </c>
      <c r="B61" s="11" t="s">
        <v>1022</v>
      </c>
      <c r="C61" s="11" t="s">
        <v>850</v>
      </c>
      <c r="D61" s="11" t="s">
        <v>851</v>
      </c>
      <c r="E61" s="9" t="s">
        <v>1023</v>
      </c>
      <c r="F61" s="15">
        <v>5658.39522102748</v>
      </c>
      <c r="G61" s="15">
        <v>9619</v>
      </c>
    </row>
    <row r="62" s="3" customFormat="1" ht="25.5" spans="1:7">
      <c r="A62" s="9">
        <v>61</v>
      </c>
      <c r="B62" s="11" t="s">
        <v>1024</v>
      </c>
      <c r="C62" s="11" t="s">
        <v>850</v>
      </c>
      <c r="D62" s="11" t="s">
        <v>854</v>
      </c>
      <c r="E62" s="9" t="s">
        <v>1023</v>
      </c>
      <c r="F62" s="15">
        <v>5658.39522102748</v>
      </c>
      <c r="G62" s="15">
        <v>9619</v>
      </c>
    </row>
    <row r="63" s="3" customFormat="1" ht="25.5" spans="1:7">
      <c r="A63" s="9">
        <v>62</v>
      </c>
      <c r="B63" s="11" t="s">
        <v>1025</v>
      </c>
      <c r="C63" s="11" t="s">
        <v>850</v>
      </c>
      <c r="D63" s="11" t="s">
        <v>856</v>
      </c>
      <c r="E63" s="9" t="s">
        <v>1023</v>
      </c>
      <c r="F63" s="15">
        <v>5658.39522102748</v>
      </c>
      <c r="G63" s="15">
        <v>9619</v>
      </c>
    </row>
    <row r="64" s="3" customFormat="1" ht="25.5" spans="1:7">
      <c r="A64" s="9">
        <v>63</v>
      </c>
      <c r="B64" s="11" t="s">
        <v>1026</v>
      </c>
      <c r="C64" s="11" t="s">
        <v>850</v>
      </c>
      <c r="D64" s="11" t="s">
        <v>1027</v>
      </c>
      <c r="E64" s="9" t="s">
        <v>1023</v>
      </c>
      <c r="F64" s="12">
        <v>2544.11527781915</v>
      </c>
      <c r="G64" s="12">
        <v>4324.99597229255</v>
      </c>
    </row>
    <row r="65" s="2" customFormat="1" spans="1:7">
      <c r="A65" s="9">
        <v>64</v>
      </c>
      <c r="B65" s="11" t="s">
        <v>1028</v>
      </c>
      <c r="C65" s="11" t="s">
        <v>141</v>
      </c>
      <c r="D65" s="11" t="s">
        <v>1029</v>
      </c>
      <c r="E65" s="9" t="s">
        <v>643</v>
      </c>
      <c r="F65" s="16">
        <v>10865.8205973716</v>
      </c>
      <c r="G65" s="16">
        <v>18471.8950155317</v>
      </c>
    </row>
    <row r="66" s="2" customFormat="1" ht="25.5" spans="1:7">
      <c r="A66" s="9">
        <v>65</v>
      </c>
      <c r="B66" s="11" t="s">
        <v>1030</v>
      </c>
      <c r="C66" s="9" t="s">
        <v>662</v>
      </c>
      <c r="D66" s="9" t="s">
        <v>1031</v>
      </c>
      <c r="E66" s="9" t="s">
        <v>1032</v>
      </c>
      <c r="F66" s="17">
        <v>13954.5385902031</v>
      </c>
      <c r="G66" s="17">
        <v>23722.7156033453</v>
      </c>
    </row>
    <row r="67" s="2" customFormat="1" ht="25.5" spans="1:7">
      <c r="A67" s="9">
        <v>66</v>
      </c>
      <c r="B67" s="11" t="s">
        <v>1033</v>
      </c>
      <c r="C67" s="9" t="s">
        <v>674</v>
      </c>
      <c r="D67" s="9" t="s">
        <v>1034</v>
      </c>
      <c r="E67" s="9" t="s">
        <v>676</v>
      </c>
      <c r="F67" s="17">
        <v>9763.92258064516</v>
      </c>
      <c r="G67" s="17">
        <v>16598.6683870968</v>
      </c>
    </row>
    <row r="68" s="2" customFormat="1" ht="25.5" spans="1:7">
      <c r="A68" s="9">
        <v>67</v>
      </c>
      <c r="B68" s="11" t="s">
        <v>673</v>
      </c>
      <c r="C68" s="9" t="s">
        <v>674</v>
      </c>
      <c r="D68" s="9" t="s">
        <v>1034</v>
      </c>
      <c r="E68" s="9" t="s">
        <v>676</v>
      </c>
      <c r="F68" s="17">
        <v>11571.9234408602</v>
      </c>
      <c r="G68" s="17">
        <v>19672.2698494624</v>
      </c>
    </row>
    <row r="69" s="2" customFormat="1" ht="25.5" spans="1:7">
      <c r="A69" s="9">
        <v>68</v>
      </c>
      <c r="B69" s="11" t="s">
        <v>1035</v>
      </c>
      <c r="C69" s="9" t="s">
        <v>1036</v>
      </c>
      <c r="D69" s="9" t="s">
        <v>1037</v>
      </c>
      <c r="E69" s="9" t="s">
        <v>643</v>
      </c>
      <c r="F69" s="17">
        <v>4425.67340501792</v>
      </c>
      <c r="G69" s="17">
        <v>7523.64478853047</v>
      </c>
    </row>
    <row r="70" s="2" customFormat="1" ht="25.5" spans="1:7">
      <c r="A70" s="9">
        <v>69</v>
      </c>
      <c r="B70" s="11" t="s">
        <v>1038</v>
      </c>
      <c r="C70" s="9" t="s">
        <v>641</v>
      </c>
      <c r="D70" s="9" t="s">
        <v>1039</v>
      </c>
      <c r="E70" s="9" t="s">
        <v>1040</v>
      </c>
      <c r="F70" s="17">
        <v>7572.88984468339</v>
      </c>
      <c r="G70" s="17">
        <v>12873.9127359618</v>
      </c>
    </row>
    <row r="71" s="2" customFormat="1" ht="25.5" spans="1:7">
      <c r="A71" s="9">
        <v>70</v>
      </c>
      <c r="B71" s="11" t="s">
        <v>1041</v>
      </c>
      <c r="C71" s="9" t="s">
        <v>1042</v>
      </c>
      <c r="D71" s="9" t="s">
        <v>968</v>
      </c>
      <c r="E71" s="9" t="s">
        <v>1043</v>
      </c>
      <c r="F71" s="17">
        <v>7894.09949820789</v>
      </c>
      <c r="G71" s="17">
        <v>13419.9691469534</v>
      </c>
    </row>
    <row r="72" s="2" customFormat="1" ht="25.5" spans="1:7">
      <c r="A72" s="9">
        <v>71</v>
      </c>
      <c r="B72" s="11" t="s">
        <v>1044</v>
      </c>
      <c r="C72" s="9" t="s">
        <v>1045</v>
      </c>
      <c r="D72" s="9" t="s">
        <v>1046</v>
      </c>
      <c r="E72" s="9" t="s">
        <v>1047</v>
      </c>
      <c r="F72" s="17">
        <v>5921.10642771804</v>
      </c>
      <c r="G72" s="17">
        <v>10065.8809271207</v>
      </c>
    </row>
    <row r="73" s="2" customFormat="1" ht="25.5" spans="1:7">
      <c r="A73" s="9">
        <v>72</v>
      </c>
      <c r="B73" s="11" t="s">
        <v>1048</v>
      </c>
      <c r="C73" s="9" t="s">
        <v>1049</v>
      </c>
      <c r="D73" s="9" t="s">
        <v>1050</v>
      </c>
      <c r="E73" s="9" t="s">
        <v>1051</v>
      </c>
      <c r="F73" s="17">
        <v>5693.49428912784</v>
      </c>
      <c r="G73" s="17">
        <v>9678.94029151732</v>
      </c>
    </row>
    <row r="74" s="2" customFormat="1" ht="25.5" spans="1:7">
      <c r="A74" s="9">
        <v>73</v>
      </c>
      <c r="B74" s="11" t="s">
        <v>1052</v>
      </c>
      <c r="C74" s="9" t="s">
        <v>1049</v>
      </c>
      <c r="D74" s="9" t="s">
        <v>1053</v>
      </c>
      <c r="E74" s="9" t="s">
        <v>1051</v>
      </c>
      <c r="F74" s="17">
        <v>4407.59206690562</v>
      </c>
      <c r="G74" s="17">
        <v>7492.90651373955</v>
      </c>
    </row>
    <row r="75" s="2" customFormat="1" ht="25.5" spans="1:7">
      <c r="A75" s="9">
        <v>74</v>
      </c>
      <c r="B75" s="11" t="s">
        <v>607</v>
      </c>
      <c r="C75" s="9" t="s">
        <v>608</v>
      </c>
      <c r="D75" s="9" t="s">
        <v>1054</v>
      </c>
      <c r="E75" s="9" t="s">
        <v>610</v>
      </c>
      <c r="F75" s="17">
        <v>5560.54327359618</v>
      </c>
      <c r="G75" s="17">
        <v>9452.9235651135</v>
      </c>
    </row>
    <row r="76" s="2" customFormat="1" ht="25.5" spans="1:7">
      <c r="A76" s="9">
        <v>75</v>
      </c>
      <c r="B76" s="11" t="s">
        <v>611</v>
      </c>
      <c r="C76" s="9" t="s">
        <v>608</v>
      </c>
      <c r="D76" s="9" t="s">
        <v>1055</v>
      </c>
      <c r="E76" s="9" t="s">
        <v>610</v>
      </c>
      <c r="F76" s="17">
        <v>4010.86623655914</v>
      </c>
      <c r="G76" s="17">
        <v>6818.47260215054</v>
      </c>
    </row>
    <row r="77" s="2" customFormat="1" spans="1:7">
      <c r="A77" s="9">
        <v>76</v>
      </c>
      <c r="B77" s="9" t="s">
        <v>1056</v>
      </c>
      <c r="C77" s="9" t="s">
        <v>1057</v>
      </c>
      <c r="D77" s="9" t="s">
        <v>1058</v>
      </c>
      <c r="E77" s="9" t="s">
        <v>643</v>
      </c>
      <c r="F77" s="17">
        <v>16455.0812903226</v>
      </c>
      <c r="G77" s="17">
        <v>27973.6381935484</v>
      </c>
    </row>
    <row r="78" s="2" customFormat="1" ht="25.5" spans="1:7">
      <c r="A78" s="9">
        <v>77</v>
      </c>
      <c r="B78" s="9" t="s">
        <v>1059</v>
      </c>
      <c r="C78" s="9" t="s">
        <v>638</v>
      </c>
      <c r="D78" s="9" t="s">
        <v>1060</v>
      </c>
      <c r="E78" s="9" t="s">
        <v>634</v>
      </c>
      <c r="F78" s="17">
        <v>6097.66537634409</v>
      </c>
      <c r="G78" s="17">
        <v>10366.0311397849</v>
      </c>
    </row>
    <row r="79" s="2" customFormat="1" spans="1:7">
      <c r="A79" s="9">
        <v>78</v>
      </c>
      <c r="B79" s="9" t="s">
        <v>1061</v>
      </c>
      <c r="C79" s="9" t="s">
        <v>1062</v>
      </c>
      <c r="D79" s="9" t="s">
        <v>1063</v>
      </c>
      <c r="E79" s="9" t="s">
        <v>643</v>
      </c>
      <c r="F79" s="17">
        <v>5840.27221027479</v>
      </c>
      <c r="G79" s="17">
        <v>9928.46275746714</v>
      </c>
    </row>
    <row r="80" s="4" customFormat="1" ht="25.5" spans="1:7">
      <c r="A80" s="9">
        <v>79</v>
      </c>
      <c r="B80" s="9" t="s">
        <v>1064</v>
      </c>
      <c r="C80" s="9" t="s">
        <v>141</v>
      </c>
      <c r="D80" s="9" t="s">
        <v>633</v>
      </c>
      <c r="E80" s="9" t="s">
        <v>634</v>
      </c>
      <c r="F80" s="17">
        <v>4073.08731182796</v>
      </c>
      <c r="G80" s="17">
        <v>6924.24843010753</v>
      </c>
    </row>
    <row r="81" s="4" customFormat="1" ht="25.5" spans="1:7">
      <c r="A81" s="9">
        <v>80</v>
      </c>
      <c r="B81" s="9" t="s">
        <v>1065</v>
      </c>
      <c r="C81" s="9" t="s">
        <v>141</v>
      </c>
      <c r="D81" s="9" t="s">
        <v>1066</v>
      </c>
      <c r="E81" s="9" t="s">
        <v>634</v>
      </c>
      <c r="F81" s="17">
        <v>3925.77758661888</v>
      </c>
      <c r="G81" s="17">
        <v>6673.82189725209</v>
      </c>
    </row>
    <row r="82" s="2" customFormat="1" spans="1:7">
      <c r="A82" s="9">
        <v>81</v>
      </c>
      <c r="B82" s="9" t="s">
        <v>1067</v>
      </c>
      <c r="C82" s="9" t="s">
        <v>1068</v>
      </c>
      <c r="D82" s="9" t="s">
        <v>1069</v>
      </c>
      <c r="E82" s="9" t="s">
        <v>643</v>
      </c>
      <c r="F82" s="17">
        <v>5302.08649940263</v>
      </c>
      <c r="G82" s="17">
        <v>9013.54704898447</v>
      </c>
    </row>
    <row r="83" s="2" customFormat="1" spans="1:7">
      <c r="A83" s="9">
        <v>82</v>
      </c>
      <c r="B83" s="9" t="s">
        <v>1070</v>
      </c>
      <c r="C83" s="9" t="s">
        <v>141</v>
      </c>
      <c r="D83" s="9" t="s">
        <v>633</v>
      </c>
      <c r="E83" s="9" t="s">
        <v>643</v>
      </c>
      <c r="F83" s="17">
        <v>4722.81892473118</v>
      </c>
      <c r="G83" s="17">
        <v>8028.79217204301</v>
      </c>
    </row>
    <row r="84" s="4" customFormat="1" spans="1:7">
      <c r="A84" s="9">
        <v>83</v>
      </c>
      <c r="B84" s="9" t="s">
        <v>1071</v>
      </c>
      <c r="C84" s="9" t="s">
        <v>141</v>
      </c>
      <c r="D84" s="9" t="s">
        <v>633</v>
      </c>
      <c r="E84" s="9" t="s">
        <v>1072</v>
      </c>
      <c r="F84" s="17">
        <v>4722.81892473118</v>
      </c>
      <c r="G84" s="17">
        <v>8028.79217204301</v>
      </c>
    </row>
    <row r="85" s="4" customFormat="1" ht="25.5" spans="1:7">
      <c r="A85" s="9">
        <v>84</v>
      </c>
      <c r="B85" s="9" t="s">
        <v>1073</v>
      </c>
      <c r="C85" s="9" t="s">
        <v>141</v>
      </c>
      <c r="D85" s="9" t="s">
        <v>1066</v>
      </c>
      <c r="E85" s="9" t="s">
        <v>634</v>
      </c>
      <c r="F85" s="17">
        <v>4540.54308243728</v>
      </c>
      <c r="G85" s="17">
        <v>7718.92324014337</v>
      </c>
    </row>
    <row r="86" s="4" customFormat="1" spans="1:7">
      <c r="A86" s="9">
        <v>85</v>
      </c>
      <c r="B86" s="9" t="s">
        <v>1074</v>
      </c>
      <c r="C86" s="9" t="s">
        <v>638</v>
      </c>
      <c r="D86" s="9" t="s">
        <v>1075</v>
      </c>
      <c r="E86" s="9">
        <v>2258</v>
      </c>
      <c r="F86" s="17">
        <v>12287.8646594982</v>
      </c>
      <c r="G86" s="17">
        <v>20889.369921147</v>
      </c>
    </row>
    <row r="87" s="2" customFormat="1" spans="1:7">
      <c r="A87" s="9">
        <v>86</v>
      </c>
      <c r="B87" s="9" t="s">
        <v>1076</v>
      </c>
      <c r="C87" s="9" t="s">
        <v>638</v>
      </c>
      <c r="D87" s="9" t="s">
        <v>1077</v>
      </c>
      <c r="E87" s="9">
        <v>2258</v>
      </c>
      <c r="F87" s="17">
        <v>11022.7027956989</v>
      </c>
      <c r="G87" s="17">
        <v>18738.5947526882</v>
      </c>
    </row>
    <row r="88" s="2" customFormat="1" spans="1:7">
      <c r="A88" s="9">
        <v>87</v>
      </c>
      <c r="B88" s="9" t="s">
        <v>1078</v>
      </c>
      <c r="C88" s="9" t="s">
        <v>1079</v>
      </c>
      <c r="D88" s="9" t="s">
        <v>1060</v>
      </c>
      <c r="E88" s="9" t="s">
        <v>1040</v>
      </c>
      <c r="F88" s="17">
        <v>5900.89787335723</v>
      </c>
      <c r="G88" s="17">
        <v>10031.5263847073</v>
      </c>
    </row>
    <row r="89" s="2" customFormat="1" spans="1:7">
      <c r="A89" s="9">
        <v>88</v>
      </c>
      <c r="B89" s="9" t="s">
        <v>682</v>
      </c>
      <c r="C89" s="9" t="s">
        <v>1080</v>
      </c>
      <c r="D89" s="9" t="s">
        <v>1066</v>
      </c>
      <c r="E89" s="9" t="s">
        <v>643</v>
      </c>
      <c r="F89" s="17">
        <v>2258.04004778973</v>
      </c>
      <c r="G89" s="17">
        <v>3838.66808124253</v>
      </c>
    </row>
    <row r="90" s="2" customFormat="1" spans="1:7">
      <c r="A90" s="9">
        <v>89</v>
      </c>
      <c r="B90" s="9" t="s">
        <v>1081</v>
      </c>
      <c r="C90" s="9" t="s">
        <v>662</v>
      </c>
      <c r="D90" s="9" t="s">
        <v>1082</v>
      </c>
      <c r="E90" s="9" t="s">
        <v>643</v>
      </c>
      <c r="F90" s="17">
        <v>3166.36138590203</v>
      </c>
      <c r="G90" s="17">
        <v>5382.81435603345</v>
      </c>
    </row>
    <row r="91" s="2" customFormat="1" spans="1:7">
      <c r="A91" s="9">
        <v>90</v>
      </c>
      <c r="B91" s="9" t="s">
        <v>661</v>
      </c>
      <c r="C91" s="9" t="s">
        <v>662</v>
      </c>
      <c r="D91" s="9" t="s">
        <v>663</v>
      </c>
      <c r="E91" s="9" t="s">
        <v>643</v>
      </c>
      <c r="F91" s="17">
        <v>5028.73921146953</v>
      </c>
      <c r="G91" s="17">
        <v>8548.85665949821</v>
      </c>
    </row>
    <row r="92" s="2" customFormat="1" spans="1:7">
      <c r="A92" s="9">
        <v>91</v>
      </c>
      <c r="B92" s="9" t="s">
        <v>1083</v>
      </c>
      <c r="C92" s="9" t="s">
        <v>662</v>
      </c>
      <c r="D92" s="9" t="s">
        <v>1084</v>
      </c>
      <c r="E92" s="9" t="s">
        <v>655</v>
      </c>
      <c r="F92" s="17">
        <v>14961.775483871</v>
      </c>
      <c r="G92" s="17">
        <v>25435.0183225806</v>
      </c>
    </row>
    <row r="93" s="2" customFormat="1" spans="1:7">
      <c r="A93" s="9">
        <v>92</v>
      </c>
      <c r="B93" s="9" t="s">
        <v>646</v>
      </c>
      <c r="C93" s="9" t="s">
        <v>647</v>
      </c>
      <c r="D93" s="9" t="s">
        <v>648</v>
      </c>
      <c r="E93" s="9" t="s">
        <v>1085</v>
      </c>
      <c r="F93" s="17">
        <v>10048.969557945</v>
      </c>
      <c r="G93" s="17">
        <v>17083.2482485066</v>
      </c>
    </row>
    <row r="94" s="2" customFormat="1" spans="1:7">
      <c r="A94" s="9">
        <v>93</v>
      </c>
      <c r="B94" s="9" t="s">
        <v>1086</v>
      </c>
      <c r="C94" s="9" t="s">
        <v>647</v>
      </c>
      <c r="D94" s="9" t="s">
        <v>648</v>
      </c>
      <c r="E94" s="9">
        <v>2257</v>
      </c>
      <c r="F94" s="17">
        <v>9713.93299880526</v>
      </c>
      <c r="G94" s="17">
        <v>16513.6860979689</v>
      </c>
    </row>
    <row r="95" s="2" customFormat="1" ht="25.5" spans="1:7">
      <c r="A95" s="9">
        <v>94</v>
      </c>
      <c r="B95" s="9" t="s">
        <v>649</v>
      </c>
      <c r="C95" s="9" t="s">
        <v>650</v>
      </c>
      <c r="D95" s="9" t="s">
        <v>1087</v>
      </c>
      <c r="E95" s="9" t="s">
        <v>634</v>
      </c>
      <c r="F95" s="17">
        <v>4981.94045400239</v>
      </c>
      <c r="G95" s="17">
        <v>8469.29877180406</v>
      </c>
    </row>
    <row r="96" s="2" customFormat="1" spans="1:7">
      <c r="A96" s="9">
        <v>95</v>
      </c>
      <c r="B96" s="9" t="s">
        <v>652</v>
      </c>
      <c r="C96" s="9" t="s">
        <v>653</v>
      </c>
      <c r="D96" s="9" t="s">
        <v>654</v>
      </c>
      <c r="E96" s="9" t="s">
        <v>655</v>
      </c>
      <c r="F96" s="17">
        <v>4534.16143369176</v>
      </c>
      <c r="G96" s="17">
        <v>7708.07443727599</v>
      </c>
    </row>
    <row r="97" s="2" customFormat="1" spans="1:7">
      <c r="A97" s="9">
        <v>96</v>
      </c>
      <c r="B97" s="9" t="s">
        <v>656</v>
      </c>
      <c r="C97" s="9" t="s">
        <v>657</v>
      </c>
      <c r="D97" s="9" t="s">
        <v>654</v>
      </c>
      <c r="E97" s="9" t="s">
        <v>655</v>
      </c>
      <c r="F97" s="17">
        <v>4653.28554360812</v>
      </c>
      <c r="G97" s="17">
        <v>7910.58542413381</v>
      </c>
    </row>
    <row r="98" s="2" customFormat="1" ht="25.5" spans="1:7">
      <c r="A98" s="9">
        <v>97</v>
      </c>
      <c r="B98" s="9" t="s">
        <v>613</v>
      </c>
      <c r="C98" s="9" t="s">
        <v>1088</v>
      </c>
      <c r="D98" s="9" t="s">
        <v>615</v>
      </c>
      <c r="E98" s="9" t="s">
        <v>634</v>
      </c>
      <c r="F98" s="17">
        <v>1802.81577060932</v>
      </c>
      <c r="G98" s="17">
        <v>3064.78681003584</v>
      </c>
    </row>
    <row r="99" s="2" customFormat="1" ht="25.5" spans="1:7">
      <c r="A99" s="9">
        <v>98</v>
      </c>
      <c r="B99" s="9" t="s">
        <v>617</v>
      </c>
      <c r="C99" s="9" t="s">
        <v>1088</v>
      </c>
      <c r="D99" s="9" t="s">
        <v>619</v>
      </c>
      <c r="E99" s="9" t="s">
        <v>634</v>
      </c>
      <c r="F99" s="17">
        <v>1480.54250896057</v>
      </c>
      <c r="G99" s="17">
        <v>2516.92226523298</v>
      </c>
    </row>
    <row r="100" s="2" customFormat="1" spans="1:7">
      <c r="A100" s="9">
        <v>99</v>
      </c>
      <c r="B100" s="9" t="s">
        <v>666</v>
      </c>
      <c r="C100" s="9" t="s">
        <v>667</v>
      </c>
      <c r="D100" s="9" t="s">
        <v>668</v>
      </c>
      <c r="E100" s="9" t="s">
        <v>669</v>
      </c>
      <c r="F100" s="17">
        <v>11177.4577777778</v>
      </c>
      <c r="G100" s="17">
        <v>19001.6782222222</v>
      </c>
    </row>
    <row r="101" s="2" customFormat="1" spans="1:7">
      <c r="A101" s="9">
        <v>100</v>
      </c>
      <c r="B101" s="9" t="s">
        <v>1089</v>
      </c>
      <c r="C101" s="9" t="s">
        <v>918</v>
      </c>
      <c r="D101" s="9" t="s">
        <v>1090</v>
      </c>
      <c r="E101" s="9" t="s">
        <v>1091</v>
      </c>
      <c r="F101" s="17">
        <v>6608.59612903226</v>
      </c>
      <c r="G101" s="18">
        <v>11234.6134193548</v>
      </c>
    </row>
    <row r="102" s="2" customFormat="1" spans="1:7">
      <c r="A102" s="9">
        <v>101</v>
      </c>
      <c r="B102" s="9" t="s">
        <v>1092</v>
      </c>
      <c r="C102" s="9" t="s">
        <v>882</v>
      </c>
      <c r="D102" s="9" t="s">
        <v>1093</v>
      </c>
      <c r="E102" s="9" t="s">
        <v>1017</v>
      </c>
      <c r="F102" s="17">
        <v>8040.87741935484</v>
      </c>
      <c r="G102" s="17">
        <v>13669.4916129032</v>
      </c>
    </row>
    <row r="103" s="2" customFormat="1" spans="1:7">
      <c r="A103" s="9">
        <v>102</v>
      </c>
      <c r="B103" s="9" t="s">
        <v>1094</v>
      </c>
      <c r="C103" s="9" t="s">
        <v>667</v>
      </c>
      <c r="D103" s="9" t="s">
        <v>1095</v>
      </c>
      <c r="E103" s="9" t="s">
        <v>428</v>
      </c>
      <c r="F103" s="17">
        <v>10700.8283870968</v>
      </c>
      <c r="G103" s="17">
        <v>18191.4082580645</v>
      </c>
    </row>
    <row r="104" s="2" customFormat="1" spans="1:7">
      <c r="A104" s="9">
        <v>103</v>
      </c>
      <c r="B104" s="9" t="s">
        <v>1096</v>
      </c>
      <c r="C104" s="9" t="s">
        <v>1097</v>
      </c>
      <c r="D104" s="9" t="s">
        <v>1098</v>
      </c>
      <c r="E104" s="9" t="s">
        <v>1040</v>
      </c>
      <c r="F104" s="17">
        <v>8639.15698924731</v>
      </c>
      <c r="G104" s="18">
        <v>14686.5668817204</v>
      </c>
    </row>
    <row r="105" s="2" customFormat="1" spans="1:7">
      <c r="A105" s="9">
        <v>104</v>
      </c>
      <c r="B105" s="9" t="s">
        <v>1099</v>
      </c>
      <c r="C105" s="9" t="s">
        <v>1097</v>
      </c>
      <c r="D105" s="9" t="s">
        <v>1100</v>
      </c>
      <c r="E105" s="9" t="s">
        <v>1040</v>
      </c>
      <c r="F105" s="17">
        <v>6704.32086021505</v>
      </c>
      <c r="G105" s="17">
        <v>11397.3454623656</v>
      </c>
    </row>
    <row r="106" s="2" customFormat="1" spans="1:7">
      <c r="A106" s="9">
        <v>105</v>
      </c>
      <c r="B106" s="9" t="s">
        <v>640</v>
      </c>
      <c r="C106" s="9" t="s">
        <v>641</v>
      </c>
      <c r="D106" s="9" t="s">
        <v>1101</v>
      </c>
      <c r="E106" s="9" t="s">
        <v>643</v>
      </c>
      <c r="F106" s="17">
        <v>2959.09075268817</v>
      </c>
      <c r="G106" s="17">
        <v>5030.45427956989</v>
      </c>
    </row>
    <row r="107" s="2" customFormat="1" spans="1:7">
      <c r="A107" s="9">
        <v>106</v>
      </c>
      <c r="B107" s="9" t="s">
        <v>644</v>
      </c>
      <c r="C107" s="9" t="s">
        <v>641</v>
      </c>
      <c r="D107" s="9" t="s">
        <v>1102</v>
      </c>
      <c r="E107" s="9" t="s">
        <v>576</v>
      </c>
      <c r="F107" s="17">
        <v>4349.49247311828</v>
      </c>
      <c r="G107" s="17">
        <v>7394.13720430108</v>
      </c>
    </row>
    <row r="108" s="2" customFormat="1" spans="1:7">
      <c r="A108" s="9">
        <v>107</v>
      </c>
      <c r="B108" s="9" t="s">
        <v>1103</v>
      </c>
      <c r="C108" s="9" t="s">
        <v>1104</v>
      </c>
      <c r="D108" s="9" t="s">
        <v>1105</v>
      </c>
      <c r="E108" s="9" t="s">
        <v>1106</v>
      </c>
      <c r="F108" s="17">
        <v>6905.34279569893</v>
      </c>
      <c r="G108" s="17">
        <v>11739.0827526882</v>
      </c>
    </row>
    <row r="109" s="2" customFormat="1" ht="15.75" spans="1:7">
      <c r="A109" s="9">
        <v>108</v>
      </c>
      <c r="B109" s="19" t="s">
        <v>1107</v>
      </c>
      <c r="C109" s="20" t="s">
        <v>662</v>
      </c>
      <c r="D109" s="19" t="s">
        <v>1108</v>
      </c>
      <c r="E109" s="21" t="s">
        <v>1109</v>
      </c>
      <c r="F109" s="22">
        <v>5887.07096774194</v>
      </c>
      <c r="G109" s="23">
        <v>10008.0206451613</v>
      </c>
    </row>
    <row r="110" s="2" customFormat="1" ht="14.25" spans="1:7">
      <c r="A110" s="9">
        <v>109</v>
      </c>
      <c r="B110" s="9" t="s">
        <v>1110</v>
      </c>
      <c r="C110" s="9" t="s">
        <v>1111</v>
      </c>
      <c r="D110" s="9" t="s">
        <v>1112</v>
      </c>
      <c r="E110" s="9" t="s">
        <v>1113</v>
      </c>
      <c r="F110" s="24">
        <v>10990.3956989247</v>
      </c>
      <c r="G110" s="24">
        <v>18683.672688172</v>
      </c>
    </row>
    <row r="111" s="2" customFormat="1" ht="14.25" spans="1:7">
      <c r="A111" s="9">
        <v>110</v>
      </c>
      <c r="B111" s="9" t="s">
        <v>1114</v>
      </c>
      <c r="C111" s="9" t="s">
        <v>1115</v>
      </c>
      <c r="D111" s="9" t="s">
        <v>1116</v>
      </c>
      <c r="E111" s="9" t="s">
        <v>1117</v>
      </c>
      <c r="F111" s="25">
        <v>8879.66537634409</v>
      </c>
      <c r="G111" s="17">
        <v>15095.4311397849</v>
      </c>
    </row>
    <row r="112" s="2" customFormat="1" ht="38.25" spans="1:7">
      <c r="A112" s="9">
        <v>111</v>
      </c>
      <c r="B112" s="9" t="s">
        <v>1118</v>
      </c>
      <c r="C112" s="9" t="s">
        <v>1119</v>
      </c>
      <c r="D112" s="9" t="s">
        <v>1120</v>
      </c>
      <c r="E112" s="9" t="s">
        <v>1121</v>
      </c>
      <c r="F112" s="26">
        <v>15254.9324731183</v>
      </c>
      <c r="G112" s="26">
        <v>25933.3852043011</v>
      </c>
    </row>
    <row r="113" s="2" customFormat="1" ht="25.5" spans="1:7">
      <c r="A113" s="9">
        <v>112</v>
      </c>
      <c r="B113" s="9" t="s">
        <v>1122</v>
      </c>
      <c r="C113" s="9" t="s">
        <v>1123</v>
      </c>
      <c r="D113" s="9" t="s">
        <v>1124</v>
      </c>
      <c r="E113" s="9" t="s">
        <v>1125</v>
      </c>
      <c r="F113" s="26">
        <v>6292.70451612903</v>
      </c>
      <c r="G113" s="26">
        <v>10697.5976774194</v>
      </c>
    </row>
    <row r="114" s="2" customFormat="1" ht="25.5" spans="1:7">
      <c r="A114" s="9">
        <v>113</v>
      </c>
      <c r="B114" s="9" t="s">
        <v>1126</v>
      </c>
      <c r="C114" s="27" t="s">
        <v>135</v>
      </c>
      <c r="D114" s="27" t="s">
        <v>1127</v>
      </c>
      <c r="E114" s="27" t="s">
        <v>1128</v>
      </c>
      <c r="F114" s="26">
        <v>9181.19827956989</v>
      </c>
      <c r="G114" s="26">
        <v>15608.0370752688</v>
      </c>
    </row>
    <row r="115" s="2" customFormat="1" ht="14.25" spans="1:7">
      <c r="A115" s="9">
        <v>114</v>
      </c>
      <c r="B115" s="9" t="s">
        <v>684</v>
      </c>
      <c r="C115" s="21" t="s">
        <v>685</v>
      </c>
      <c r="D115" s="28" t="s">
        <v>1129</v>
      </c>
      <c r="E115" s="21" t="s">
        <v>583</v>
      </c>
      <c r="F115" s="26">
        <v>15033.5690322581</v>
      </c>
      <c r="G115" s="26">
        <v>25557.0673548387</v>
      </c>
    </row>
    <row r="116" s="2" customFormat="1" ht="38.25" spans="1:7">
      <c r="A116" s="9">
        <v>115</v>
      </c>
      <c r="B116" s="9" t="s">
        <v>1130</v>
      </c>
      <c r="C116" s="9" t="s">
        <v>1131</v>
      </c>
      <c r="D116" s="9" t="s">
        <v>1132</v>
      </c>
      <c r="E116" s="9" t="s">
        <v>1133</v>
      </c>
      <c r="F116" s="26">
        <v>15999.1922580645</v>
      </c>
      <c r="G116" s="26">
        <v>27198.6268387097</v>
      </c>
    </row>
    <row r="117" s="2" customFormat="1" ht="14.25" spans="1:7">
      <c r="A117" s="9">
        <v>116</v>
      </c>
      <c r="B117" s="29" t="s">
        <v>1134</v>
      </c>
      <c r="C117" s="29" t="s">
        <v>1135</v>
      </c>
      <c r="D117" s="29" t="s">
        <v>1136</v>
      </c>
      <c r="E117" s="29" t="s">
        <v>1137</v>
      </c>
      <c r="F117" s="25">
        <v>4004.88344086021</v>
      </c>
      <c r="G117" s="25">
        <v>6808.30184946236</v>
      </c>
    </row>
    <row r="118" s="2" customFormat="1" ht="14.25" spans="1:7">
      <c r="A118" s="9">
        <v>117</v>
      </c>
      <c r="B118" s="29" t="s">
        <v>1138</v>
      </c>
      <c r="C118" s="29" t="s">
        <v>1139</v>
      </c>
      <c r="D118" s="29" t="s">
        <v>1140</v>
      </c>
      <c r="E118" s="29" t="s">
        <v>1137</v>
      </c>
      <c r="F118" s="25">
        <v>2613.28516129032</v>
      </c>
      <c r="G118" s="25">
        <v>4442.58477419355</v>
      </c>
    </row>
    <row r="119" s="2" customFormat="1" ht="14.25" spans="1:7">
      <c r="A119" s="9">
        <v>118</v>
      </c>
      <c r="B119" s="29" t="s">
        <v>1141</v>
      </c>
      <c r="C119" s="29" t="s">
        <v>1142</v>
      </c>
      <c r="D119" s="29" t="s">
        <v>1143</v>
      </c>
      <c r="E119" s="29" t="s">
        <v>1137</v>
      </c>
      <c r="F119" s="25">
        <v>3894.8</v>
      </c>
      <c r="G119" s="25">
        <v>6621.16</v>
      </c>
    </row>
    <row r="120" s="2" customFormat="1" ht="15" spans="1:7">
      <c r="A120" s="9">
        <v>119</v>
      </c>
      <c r="B120" s="9" t="s">
        <v>1144</v>
      </c>
      <c r="C120" s="9" t="s">
        <v>1145</v>
      </c>
      <c r="D120" s="9" t="s">
        <v>1146</v>
      </c>
      <c r="E120" s="30" t="s">
        <v>1147</v>
      </c>
      <c r="F120" s="9">
        <v>5135.52</v>
      </c>
      <c r="G120" s="25">
        <v>8730.8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Bedroom</vt:lpstr>
      <vt:lpstr>Wardrobe</vt:lpstr>
      <vt:lpstr>Flipkart</vt:lpstr>
      <vt:lpstr>CSI</vt:lpstr>
      <vt:lpstr>Sheet5</vt:lpstr>
      <vt:lpstr>CNT-MDF</vt:lpstr>
      <vt:lpstr>CNT01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pankag</dc:creator>
  <cp:lastModifiedBy>Veena</cp:lastModifiedBy>
  <dcterms:created xsi:type="dcterms:W3CDTF">2014-04-11T07:07:00Z</dcterms:created>
  <cp:lastPrinted>2016-04-13T11:19:00Z</cp:lastPrinted>
  <dcterms:modified xsi:type="dcterms:W3CDTF">2022-04-28T05:22:54Z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31A42557B340473F981C8CBD12D2F82A</vt:lpwstr>
  </property>
</Properties>
</file>